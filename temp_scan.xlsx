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c2fd2a050c0e04e9/デスクトップ/"/>
    </mc:Choice>
  </mc:AlternateContent>
  <xr:revisionPtr revIDLastSave="192" documentId="13_ncr:1_{94DE1DC8-0EBF-4C83-AA97-245363F72D4C}" xr6:coauthVersionLast="47" xr6:coauthVersionMax="47" xr10:uidLastSave="{F8C6EF66-C01D-48A9-B86D-4C9166042559}"/>
  <bookViews>
    <workbookView xWindow="-108" yWindow="-108" windowWidth="23256" windowHeight="13896" tabRatio="652" activeTab="9" xr2:uid="{ED0E0DCD-3257-4A3F-9ADC-57FE47A7E7A5}"/>
  </bookViews>
  <sheets>
    <sheet name="特養入所" sheetId="1" r:id="rId1"/>
    <sheet name="短期原本" sheetId="7" r:id="rId2"/>
    <sheet name="自動構文" sheetId="27" r:id="rId3"/>
    <sheet name="プラン補助" sheetId="21" r:id="rId4"/>
    <sheet name="2月" sheetId="47" r:id="rId5"/>
    <sheet name="3月" sheetId="48" r:id="rId6"/>
    <sheet name="4月" sheetId="49" r:id="rId7"/>
    <sheet name="5月" sheetId="50" r:id="rId8"/>
    <sheet name="6月" sheetId="52" r:id="rId9"/>
    <sheet name="7月" sheetId="53" r:id="rId10"/>
    <sheet name="8月" sheetId="54" r:id="rId11"/>
    <sheet name="9月" sheetId="55" r:id="rId12"/>
  </sheets>
  <definedNames>
    <definedName name="_xlnm.Print_Area" localSheetId="4">'2月'!$A$1:$AX$32</definedName>
    <definedName name="_xlnm.Print_Area" localSheetId="5">'3月'!$B$1:$AX$29</definedName>
    <definedName name="_xlnm.Print_Area" localSheetId="6">'4月'!$A$1:$AX$32</definedName>
    <definedName name="_xlnm.Print_Area" localSheetId="7">'5月'!$A$1:$AX$31</definedName>
    <definedName name="_xlnm.Print_Area" localSheetId="8">'6月'!$A$1:$AX$29</definedName>
    <definedName name="_xlnm.Print_Area" localSheetId="9">'7月'!$A$1:$AX$30</definedName>
    <definedName name="_xlnm.Print_Area" localSheetId="10">'8月'!$A$1:$AX$32</definedName>
    <definedName name="_xlnm.Print_Area" localSheetId="11">'9月'!$A$1:$AX$30</definedName>
    <definedName name="_xlnm.Print_Area" localSheetId="1">短期原本!$A$1:$AX$30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6" i="54" l="1"/>
  <c r="AT16" i="54"/>
  <c r="AS16" i="54"/>
  <c r="AR16" i="54"/>
  <c r="N19" i="55"/>
  <c r="O19" i="55"/>
  <c r="P19" i="55"/>
  <c r="Q19" i="55"/>
  <c r="R19" i="55"/>
  <c r="S19" i="55"/>
  <c r="T19" i="55"/>
  <c r="U19" i="55"/>
  <c r="V19" i="55"/>
  <c r="W19" i="55"/>
  <c r="X19" i="55"/>
  <c r="Y19" i="55"/>
  <c r="Z19" i="55"/>
  <c r="AA19" i="55"/>
  <c r="AB19" i="55"/>
  <c r="AC19" i="55"/>
  <c r="AD19" i="55"/>
  <c r="AE19" i="55"/>
  <c r="AF19" i="55"/>
  <c r="AG19" i="55"/>
  <c r="AH19" i="55"/>
  <c r="AI19" i="55"/>
  <c r="AJ19" i="55"/>
  <c r="AK19" i="55"/>
  <c r="AL19" i="55"/>
  <c r="AM19" i="55"/>
  <c r="AN19" i="55"/>
  <c r="AO19" i="55"/>
  <c r="AP19" i="55"/>
  <c r="AQ19" i="55"/>
  <c r="M19" i="55"/>
  <c r="AV8" i="54"/>
  <c r="AV13" i="54"/>
  <c r="AV21" i="54"/>
  <c r="AV29" i="54"/>
  <c r="AR8" i="54"/>
  <c r="AS8" i="54"/>
  <c r="AT8" i="54"/>
  <c r="AU8" i="54"/>
  <c r="AR11" i="54"/>
  <c r="AS11" i="54"/>
  <c r="AT11" i="54"/>
  <c r="AU11" i="54"/>
  <c r="AR13" i="54"/>
  <c r="AS13" i="54"/>
  <c r="AT13" i="54"/>
  <c r="AU13" i="54"/>
  <c r="AR14" i="54"/>
  <c r="AV14" i="54" s="1"/>
  <c r="AS14" i="54"/>
  <c r="AT14" i="54"/>
  <c r="AU14" i="54"/>
  <c r="AR15" i="54"/>
  <c r="AS15" i="54"/>
  <c r="AT15" i="54"/>
  <c r="AU15" i="54"/>
  <c r="AR19" i="54"/>
  <c r="AS19" i="54"/>
  <c r="AT19" i="54"/>
  <c r="AU19" i="54"/>
  <c r="AR21" i="54"/>
  <c r="AS21" i="54"/>
  <c r="AT21" i="54"/>
  <c r="AU21" i="54"/>
  <c r="AR22" i="54"/>
  <c r="AS22" i="54"/>
  <c r="AT22" i="54"/>
  <c r="AU22" i="54"/>
  <c r="AR27" i="54"/>
  <c r="AS27" i="54"/>
  <c r="AT27" i="54"/>
  <c r="AU27" i="54"/>
  <c r="AR29" i="54"/>
  <c r="AS29" i="54"/>
  <c r="AT29" i="54"/>
  <c r="AU29" i="54"/>
  <c r="AU21" i="55"/>
  <c r="AT21" i="55"/>
  <c r="AS21" i="55"/>
  <c r="AR21" i="55"/>
  <c r="AU26" i="53"/>
  <c r="AT26" i="53"/>
  <c r="AS26" i="53"/>
  <c r="AR26" i="53"/>
  <c r="AR8" i="53"/>
  <c r="AS8" i="53"/>
  <c r="AT8" i="53"/>
  <c r="AU8" i="53"/>
  <c r="AR11" i="53"/>
  <c r="AS11" i="53"/>
  <c r="AT11" i="53"/>
  <c r="AU11" i="53"/>
  <c r="AR13" i="53"/>
  <c r="AS13" i="53"/>
  <c r="AT13" i="53"/>
  <c r="AU13" i="53"/>
  <c r="AV13" i="53"/>
  <c r="AR14" i="53"/>
  <c r="AS14" i="53"/>
  <c r="AT14" i="53"/>
  <c r="AU14" i="53"/>
  <c r="AR17" i="53"/>
  <c r="AS17" i="53"/>
  <c r="AT17" i="53"/>
  <c r="AU17" i="53"/>
  <c r="AR18" i="53"/>
  <c r="AS18" i="53"/>
  <c r="AT18" i="53"/>
  <c r="AU18" i="53"/>
  <c r="AR19" i="53"/>
  <c r="AS19" i="53"/>
  <c r="AT19" i="53"/>
  <c r="AU19" i="53"/>
  <c r="AR20" i="53"/>
  <c r="AS20" i="53"/>
  <c r="AT20" i="53"/>
  <c r="AU20" i="53"/>
  <c r="AR21" i="53"/>
  <c r="AS21" i="53"/>
  <c r="AT21" i="53"/>
  <c r="AU21" i="53"/>
  <c r="AR25" i="53"/>
  <c r="AS25" i="53"/>
  <c r="AT25" i="53"/>
  <c r="AU25" i="53"/>
  <c r="N12" i="55"/>
  <c r="O12" i="55"/>
  <c r="P12" i="55"/>
  <c r="Q12" i="55"/>
  <c r="R12" i="55"/>
  <c r="S12" i="55"/>
  <c r="T12" i="55"/>
  <c r="U12" i="55"/>
  <c r="V12" i="55"/>
  <c r="W12" i="55"/>
  <c r="X12" i="55"/>
  <c r="Y12" i="55"/>
  <c r="Z12" i="55"/>
  <c r="AA12" i="55"/>
  <c r="AB12" i="55"/>
  <c r="AC12" i="55"/>
  <c r="AD12" i="55"/>
  <c r="AE12" i="55"/>
  <c r="AF12" i="55"/>
  <c r="AG12" i="55"/>
  <c r="AH12" i="55"/>
  <c r="AI12" i="55"/>
  <c r="AJ12" i="55"/>
  <c r="AK12" i="55"/>
  <c r="AL12" i="55"/>
  <c r="AM12" i="55"/>
  <c r="AN12" i="55"/>
  <c r="AO12" i="55"/>
  <c r="AP12" i="55"/>
  <c r="AQ12" i="55"/>
  <c r="N24" i="55"/>
  <c r="O24" i="55"/>
  <c r="P24" i="55"/>
  <c r="Q24" i="55"/>
  <c r="R24" i="55"/>
  <c r="S24" i="55"/>
  <c r="T24" i="55"/>
  <c r="X24" i="55"/>
  <c r="Y24" i="55"/>
  <c r="Z24" i="55"/>
  <c r="AA24" i="55"/>
  <c r="AB24" i="55"/>
  <c r="AC24" i="55"/>
  <c r="AD24" i="55"/>
  <c r="AE24" i="55"/>
  <c r="AF24" i="55"/>
  <c r="AG24" i="55"/>
  <c r="AH24" i="55"/>
  <c r="AN24" i="55"/>
  <c r="AO24" i="55"/>
  <c r="AP24" i="55"/>
  <c r="AQ24" i="55"/>
  <c r="M24" i="55"/>
  <c r="AV39" i="55"/>
  <c r="AU39" i="55"/>
  <c r="AT39" i="55"/>
  <c r="AS39" i="55"/>
  <c r="AR39" i="55"/>
  <c r="J39" i="55"/>
  <c r="AV38" i="55"/>
  <c r="AU38" i="55"/>
  <c r="AT38" i="55"/>
  <c r="AS38" i="55"/>
  <c r="AR38" i="55"/>
  <c r="J38" i="55"/>
  <c r="AU31" i="55"/>
  <c r="AT31" i="55"/>
  <c r="AS31" i="55"/>
  <c r="AR31" i="55"/>
  <c r="AU29" i="55"/>
  <c r="AT29" i="55"/>
  <c r="AS29" i="55"/>
  <c r="AR29" i="55"/>
  <c r="BC28" i="55"/>
  <c r="AV26" i="55"/>
  <c r="AU26" i="55"/>
  <c r="AT26" i="55"/>
  <c r="AS26" i="55"/>
  <c r="AR26" i="55"/>
  <c r="AV20" i="55"/>
  <c r="AU20" i="55"/>
  <c r="AT20" i="55"/>
  <c r="AS20" i="55"/>
  <c r="AR20" i="55"/>
  <c r="AU19" i="55"/>
  <c r="AT19" i="55"/>
  <c r="AS19" i="55"/>
  <c r="AR19" i="55"/>
  <c r="AU18" i="55"/>
  <c r="AT18" i="55"/>
  <c r="AS18" i="55"/>
  <c r="AR18" i="55"/>
  <c r="AV18" i="55" s="1"/>
  <c r="AU14" i="55"/>
  <c r="AT14" i="55"/>
  <c r="AS14" i="55"/>
  <c r="AR14" i="55"/>
  <c r="AV13" i="55"/>
  <c r="AU13" i="55"/>
  <c r="AT13" i="55"/>
  <c r="AS13" i="55"/>
  <c r="AR13" i="55"/>
  <c r="AU11" i="55"/>
  <c r="AT11" i="55"/>
  <c r="AS11" i="55"/>
  <c r="AR11" i="55"/>
  <c r="AV11" i="55" s="1"/>
  <c r="J9" i="55"/>
  <c r="AV8" i="55"/>
  <c r="AU8" i="55"/>
  <c r="AT8" i="55"/>
  <c r="AS8" i="55"/>
  <c r="AR8" i="55"/>
  <c r="BE6" i="55"/>
  <c r="BE4" i="55"/>
  <c r="M4" i="55"/>
  <c r="M7" i="55" s="1"/>
  <c r="M3" i="55"/>
  <c r="N3" i="55" s="1"/>
  <c r="AR28" i="53"/>
  <c r="AS28" i="53"/>
  <c r="AT28" i="53"/>
  <c r="AU28" i="53"/>
  <c r="AV28" i="53"/>
  <c r="M5" i="49"/>
  <c r="M5" i="48"/>
  <c r="AV42" i="54"/>
  <c r="AU42" i="54"/>
  <c r="AT42" i="54"/>
  <c r="AS42" i="54"/>
  <c r="AR42" i="54"/>
  <c r="J42" i="54"/>
  <c r="AV41" i="54"/>
  <c r="AU41" i="54"/>
  <c r="AT41" i="54"/>
  <c r="AS41" i="54"/>
  <c r="AR41" i="54"/>
  <c r="J41" i="54"/>
  <c r="AU34" i="54"/>
  <c r="AT34" i="54"/>
  <c r="AS34" i="54"/>
  <c r="AR34" i="54"/>
  <c r="AU32" i="54"/>
  <c r="AT32" i="54"/>
  <c r="AS32" i="54"/>
  <c r="AR32" i="54"/>
  <c r="BC31" i="54"/>
  <c r="J9" i="54"/>
  <c r="BE6" i="54"/>
  <c r="BE4" i="54"/>
  <c r="M3" i="54" s="1"/>
  <c r="AR8" i="52"/>
  <c r="AS8" i="52"/>
  <c r="AT8" i="52"/>
  <c r="AU8" i="52"/>
  <c r="AR11" i="52"/>
  <c r="AS11" i="52"/>
  <c r="AT11" i="52"/>
  <c r="AU11" i="52"/>
  <c r="AR13" i="52"/>
  <c r="AS13" i="52"/>
  <c r="AT13" i="52"/>
  <c r="AU13" i="52"/>
  <c r="AR14" i="52"/>
  <c r="AS14" i="52"/>
  <c r="AT14" i="52"/>
  <c r="AU14" i="52"/>
  <c r="AR16" i="52"/>
  <c r="AS16" i="52"/>
  <c r="AT16" i="52"/>
  <c r="AU16" i="52"/>
  <c r="AR17" i="52"/>
  <c r="AS17" i="52"/>
  <c r="AT17" i="52"/>
  <c r="AU17" i="52"/>
  <c r="AR18" i="52"/>
  <c r="AS18" i="52"/>
  <c r="AT18" i="52"/>
  <c r="AU18" i="52"/>
  <c r="AR19" i="52"/>
  <c r="AS19" i="52"/>
  <c r="AT19" i="52"/>
  <c r="AU19" i="52"/>
  <c r="AV19" i="52"/>
  <c r="AR20" i="52"/>
  <c r="AS20" i="52"/>
  <c r="AT20" i="52"/>
  <c r="AU20" i="52"/>
  <c r="AR21" i="52"/>
  <c r="AS21" i="52"/>
  <c r="AT21" i="52"/>
  <c r="AU21" i="52"/>
  <c r="AR24" i="52"/>
  <c r="AS24" i="52"/>
  <c r="AT24" i="52"/>
  <c r="AU24" i="52"/>
  <c r="AV16" i="54" l="1"/>
  <c r="AV27" i="54"/>
  <c r="AV19" i="54"/>
  <c r="N3" i="54"/>
  <c r="O3" i="54" s="1"/>
  <c r="AV22" i="54"/>
  <c r="AV15" i="54"/>
  <c r="AV11" i="54"/>
  <c r="AV26" i="53"/>
  <c r="AV19" i="55"/>
  <c r="AV11" i="53"/>
  <c r="AV20" i="53"/>
  <c r="AV18" i="53"/>
  <c r="AV17" i="53"/>
  <c r="AV21" i="55"/>
  <c r="AV19" i="53"/>
  <c r="AV14" i="53"/>
  <c r="AV8" i="53"/>
  <c r="AV21" i="53"/>
  <c r="AV25" i="53"/>
  <c r="AV14" i="55"/>
  <c r="O3" i="55"/>
  <c r="N4" i="55"/>
  <c r="M23" i="55"/>
  <c r="M9" i="55"/>
  <c r="M10" i="55"/>
  <c r="M17" i="55"/>
  <c r="M22" i="55"/>
  <c r="M5" i="55"/>
  <c r="M6" i="55"/>
  <c r="M12" i="55"/>
  <c r="M25" i="55"/>
  <c r="AV8" i="52"/>
  <c r="AV16" i="52"/>
  <c r="AV14" i="52"/>
  <c r="AV20" i="52"/>
  <c r="AV17" i="52"/>
  <c r="AV13" i="52"/>
  <c r="AV11" i="52"/>
  <c r="AV24" i="52"/>
  <c r="AV18" i="52"/>
  <c r="AV21" i="52"/>
  <c r="M4" i="54"/>
  <c r="N4" i="54" l="1"/>
  <c r="N23" i="54" s="1"/>
  <c r="M26" i="54"/>
  <c r="M23" i="54"/>
  <c r="M24" i="54"/>
  <c r="M20" i="54"/>
  <c r="N7" i="55"/>
  <c r="N25" i="55"/>
  <c r="N6" i="55"/>
  <c r="N5" i="55"/>
  <c r="N22" i="55"/>
  <c r="N17" i="55"/>
  <c r="N9" i="55"/>
  <c r="N23" i="55"/>
  <c r="M29" i="55"/>
  <c r="M31" i="55"/>
  <c r="M27" i="55"/>
  <c r="M30" i="55" s="1"/>
  <c r="P3" i="55"/>
  <c r="O4" i="55"/>
  <c r="M25" i="54"/>
  <c r="M18" i="54"/>
  <c r="M7" i="54"/>
  <c r="M17" i="54"/>
  <c r="M9" i="54"/>
  <c r="M12" i="54"/>
  <c r="M6" i="54"/>
  <c r="M5" i="54"/>
  <c r="O4" i="54"/>
  <c r="P3" i="54"/>
  <c r="N25" i="54" l="1"/>
  <c r="N5" i="54"/>
  <c r="N24" i="54"/>
  <c r="N7" i="54"/>
  <c r="N9" i="54"/>
  <c r="N10" i="54"/>
  <c r="N17" i="54"/>
  <c r="N6" i="54"/>
  <c r="N26" i="54"/>
  <c r="N20" i="54"/>
  <c r="M30" i="54"/>
  <c r="M33" i="54" s="1"/>
  <c r="N12" i="54"/>
  <c r="N18" i="54"/>
  <c r="O26" i="54"/>
  <c r="O20" i="54"/>
  <c r="O23" i="54"/>
  <c r="O7" i="55"/>
  <c r="O25" i="55"/>
  <c r="O6" i="55"/>
  <c r="O5" i="55"/>
  <c r="O22" i="55"/>
  <c r="O17" i="55"/>
  <c r="O9" i="55"/>
  <c r="O23" i="55"/>
  <c r="Q3" i="55"/>
  <c r="P4" i="55"/>
  <c r="M28" i="55"/>
  <c r="N27" i="55"/>
  <c r="N28" i="55" s="1"/>
  <c r="N31" i="55"/>
  <c r="N29" i="55"/>
  <c r="O24" i="54"/>
  <c r="O25" i="54"/>
  <c r="O18" i="54"/>
  <c r="N34" i="54"/>
  <c r="N32" i="54"/>
  <c r="Q3" i="54"/>
  <c r="P4" i="54"/>
  <c r="M34" i="54"/>
  <c r="M32" i="54"/>
  <c r="O17" i="54"/>
  <c r="O10" i="54"/>
  <c r="O9" i="54"/>
  <c r="O12" i="54"/>
  <c r="O6" i="54"/>
  <c r="O5" i="54"/>
  <c r="O7" i="54"/>
  <c r="L70" i="1"/>
  <c r="D66" i="1"/>
  <c r="D65" i="1"/>
  <c r="AU26" i="50"/>
  <c r="AT26" i="50"/>
  <c r="AS26" i="50"/>
  <c r="AR26" i="50"/>
  <c r="D7" i="1"/>
  <c r="D135" i="1"/>
  <c r="AR9" i="50"/>
  <c r="AS9" i="50"/>
  <c r="AT9" i="50"/>
  <c r="AU9" i="50"/>
  <c r="AR11" i="50"/>
  <c r="AS11" i="50"/>
  <c r="AT11" i="50"/>
  <c r="AU11" i="50"/>
  <c r="AR13" i="50"/>
  <c r="AS13" i="50"/>
  <c r="AT13" i="50"/>
  <c r="AU13" i="50"/>
  <c r="AR16" i="50"/>
  <c r="AV16" i="50" s="1"/>
  <c r="AS16" i="50"/>
  <c r="AT16" i="50"/>
  <c r="AU16" i="50"/>
  <c r="AR20" i="50"/>
  <c r="AS20" i="50"/>
  <c r="AT20" i="50"/>
  <c r="AU20" i="50"/>
  <c r="AR21" i="50"/>
  <c r="AS21" i="50"/>
  <c r="AT21" i="50"/>
  <c r="AU21" i="50"/>
  <c r="AR22" i="50"/>
  <c r="AS22" i="50"/>
  <c r="AT22" i="50"/>
  <c r="AU22" i="50"/>
  <c r="AR23" i="50"/>
  <c r="AS23" i="50"/>
  <c r="AT23" i="50"/>
  <c r="AU23" i="50"/>
  <c r="AR24" i="50"/>
  <c r="AS24" i="50"/>
  <c r="AT24" i="50"/>
  <c r="AU24" i="50"/>
  <c r="AR28" i="50"/>
  <c r="AS28" i="50"/>
  <c r="AT28" i="50"/>
  <c r="AU28" i="50"/>
  <c r="M19" i="48"/>
  <c r="BC30" i="53"/>
  <c r="J9" i="53"/>
  <c r="BE6" i="53"/>
  <c r="BE4" i="53"/>
  <c r="M3" i="53" s="1"/>
  <c r="M15" i="48"/>
  <c r="AV40" i="52"/>
  <c r="AU40" i="52"/>
  <c r="AT40" i="52"/>
  <c r="AS40" i="52"/>
  <c r="AR40" i="52"/>
  <c r="J40" i="52"/>
  <c r="AV39" i="52"/>
  <c r="AU39" i="52"/>
  <c r="AT39" i="52"/>
  <c r="AS39" i="52"/>
  <c r="AR39" i="52"/>
  <c r="J39" i="52"/>
  <c r="BC29" i="52"/>
  <c r="J9" i="52"/>
  <c r="BE6" i="52"/>
  <c r="BE4" i="52"/>
  <c r="M3" i="52" s="1"/>
  <c r="M4" i="52" s="1"/>
  <c r="M9" i="52" s="1"/>
  <c r="AV39" i="7"/>
  <c r="AU39" i="7"/>
  <c r="AT39" i="7"/>
  <c r="AS39" i="7"/>
  <c r="AR39" i="7"/>
  <c r="J39" i="7"/>
  <c r="AV38" i="7"/>
  <c r="AU38" i="7"/>
  <c r="AT38" i="7"/>
  <c r="AS38" i="7"/>
  <c r="AR38" i="7"/>
  <c r="J38" i="7"/>
  <c r="BC28" i="7"/>
  <c r="AV26" i="7"/>
  <c r="AU26" i="7"/>
  <c r="AT26" i="7"/>
  <c r="AS26" i="7"/>
  <c r="AR26" i="7"/>
  <c r="AU20" i="7"/>
  <c r="AT20" i="7"/>
  <c r="AS20" i="7"/>
  <c r="AR20" i="7"/>
  <c r="AU19" i="7"/>
  <c r="AT19" i="7"/>
  <c r="AS19" i="7"/>
  <c r="AR19" i="7"/>
  <c r="AU18" i="7"/>
  <c r="AT18" i="7"/>
  <c r="AS18" i="7"/>
  <c r="AR18" i="7"/>
  <c r="AU14" i="7"/>
  <c r="AT14" i="7"/>
  <c r="AS14" i="7"/>
  <c r="AR14" i="7"/>
  <c r="AV13" i="7"/>
  <c r="AU13" i="7"/>
  <c r="AT13" i="7"/>
  <c r="AS13" i="7"/>
  <c r="AR13" i="7"/>
  <c r="AU11" i="7"/>
  <c r="AT11" i="7"/>
  <c r="AS11" i="7"/>
  <c r="AR11" i="7"/>
  <c r="J9" i="7"/>
  <c r="AU8" i="7"/>
  <c r="AT8" i="7"/>
  <c r="AS8" i="7"/>
  <c r="AR8" i="7"/>
  <c r="BE6" i="7"/>
  <c r="BE4" i="7"/>
  <c r="M3" i="7" s="1"/>
  <c r="L60" i="1"/>
  <c r="D60" i="1"/>
  <c r="D69" i="1"/>
  <c r="BC30" i="50"/>
  <c r="D50" i="1"/>
  <c r="D55" i="1"/>
  <c r="D58" i="1"/>
  <c r="D72" i="1"/>
  <c r="D46" i="1"/>
  <c r="D74" i="1"/>
  <c r="D134" i="1"/>
  <c r="D133" i="1"/>
  <c r="D75" i="1"/>
  <c r="D51" i="1"/>
  <c r="D42" i="1"/>
  <c r="D41" i="1"/>
  <c r="D40" i="1"/>
  <c r="D39" i="1"/>
  <c r="AR9" i="49"/>
  <c r="AV9" i="49" s="1"/>
  <c r="AS9" i="49"/>
  <c r="AT9" i="49"/>
  <c r="AU9" i="49"/>
  <c r="AR11" i="49"/>
  <c r="AS11" i="49"/>
  <c r="AT11" i="49"/>
  <c r="AU11" i="49"/>
  <c r="AR15" i="49"/>
  <c r="AS15" i="49"/>
  <c r="AT15" i="49"/>
  <c r="AU15" i="49"/>
  <c r="AR16" i="49"/>
  <c r="AV16" i="49" s="1"/>
  <c r="AS16" i="49"/>
  <c r="AT16" i="49"/>
  <c r="AU16" i="49"/>
  <c r="AR17" i="49"/>
  <c r="AS17" i="49"/>
  <c r="AT17" i="49"/>
  <c r="AU17" i="49"/>
  <c r="AR22" i="49"/>
  <c r="AS22" i="49"/>
  <c r="AT22" i="49"/>
  <c r="AU22" i="49"/>
  <c r="AR23" i="49"/>
  <c r="AS23" i="49"/>
  <c r="AT23" i="49"/>
  <c r="AU23" i="49"/>
  <c r="AR24" i="49"/>
  <c r="AS24" i="49"/>
  <c r="AT24" i="49"/>
  <c r="AU24" i="49"/>
  <c r="AR25" i="49"/>
  <c r="AS25" i="49"/>
  <c r="AT25" i="49"/>
  <c r="AU25" i="49"/>
  <c r="AR26" i="49"/>
  <c r="AS26" i="49"/>
  <c r="AT26" i="49"/>
  <c r="AU26" i="49"/>
  <c r="AR27" i="49"/>
  <c r="AS27" i="49"/>
  <c r="AT27" i="49"/>
  <c r="AU27" i="49"/>
  <c r="AR28" i="49"/>
  <c r="AS28" i="49"/>
  <c r="AT28" i="49"/>
  <c r="AU28" i="49"/>
  <c r="AR29" i="49"/>
  <c r="AS29" i="49"/>
  <c r="AT29" i="49"/>
  <c r="AU29" i="49"/>
  <c r="AR30" i="49"/>
  <c r="AS30" i="49"/>
  <c r="AT30" i="49"/>
  <c r="AU30" i="49"/>
  <c r="AV30" i="49"/>
  <c r="D33" i="1"/>
  <c r="D132" i="1"/>
  <c r="D131" i="1"/>
  <c r="D130" i="1"/>
  <c r="AR6" i="48"/>
  <c r="AS6" i="48"/>
  <c r="AT6" i="48"/>
  <c r="AU6" i="48"/>
  <c r="AR7" i="48"/>
  <c r="AS7" i="48"/>
  <c r="AT7" i="48"/>
  <c r="AU7" i="48"/>
  <c r="AR12" i="48"/>
  <c r="AV12" i="48" s="1"/>
  <c r="AS12" i="48"/>
  <c r="AT12" i="48"/>
  <c r="AU12" i="48"/>
  <c r="AR14" i="48"/>
  <c r="AS14" i="48"/>
  <c r="AT14" i="48"/>
  <c r="AU14" i="48"/>
  <c r="AR18" i="48"/>
  <c r="AS18" i="48"/>
  <c r="AT18" i="48"/>
  <c r="AU18" i="48"/>
  <c r="AR23" i="48"/>
  <c r="AS23" i="48"/>
  <c r="AT23" i="48"/>
  <c r="AU23" i="48"/>
  <c r="AR27" i="48"/>
  <c r="AS27" i="48"/>
  <c r="AT27" i="48"/>
  <c r="AU27" i="48"/>
  <c r="AV27" i="48"/>
  <c r="AK11" i="47"/>
  <c r="AL11" i="47"/>
  <c r="AV41" i="50"/>
  <c r="AU41" i="50"/>
  <c r="AT41" i="50"/>
  <c r="AS41" i="50"/>
  <c r="AR41" i="50"/>
  <c r="J41" i="50"/>
  <c r="AV40" i="50"/>
  <c r="AU40" i="50"/>
  <c r="AT40" i="50"/>
  <c r="AS40" i="50"/>
  <c r="AR40" i="50"/>
  <c r="J40" i="50"/>
  <c r="J10" i="50"/>
  <c r="BE6" i="50"/>
  <c r="J5" i="50"/>
  <c r="BE4" i="50"/>
  <c r="M3" i="50" s="1"/>
  <c r="AV47" i="49"/>
  <c r="AU47" i="49"/>
  <c r="AT47" i="49"/>
  <c r="AS47" i="49"/>
  <c r="AR47" i="49"/>
  <c r="J47" i="49"/>
  <c r="AV46" i="49"/>
  <c r="AU46" i="49"/>
  <c r="AT46" i="49"/>
  <c r="AS46" i="49"/>
  <c r="AR46" i="49"/>
  <c r="J46" i="49"/>
  <c r="AV45" i="49"/>
  <c r="AU45" i="49"/>
  <c r="AT45" i="49"/>
  <c r="AS45" i="49"/>
  <c r="AR45" i="49"/>
  <c r="AV44" i="49"/>
  <c r="AU44" i="49"/>
  <c r="AT44" i="49"/>
  <c r="AS44" i="49"/>
  <c r="AR44" i="49"/>
  <c r="J44" i="49"/>
  <c r="AV43" i="49"/>
  <c r="AU43" i="49"/>
  <c r="AT43" i="49"/>
  <c r="AS43" i="49"/>
  <c r="AR43" i="49"/>
  <c r="J43" i="49"/>
  <c r="AV42" i="49"/>
  <c r="AU42" i="49"/>
  <c r="AT42" i="49"/>
  <c r="AS42" i="49"/>
  <c r="AR42" i="49"/>
  <c r="BC32" i="49"/>
  <c r="J10" i="49"/>
  <c r="BE6" i="49"/>
  <c r="J5" i="49"/>
  <c r="BE4" i="49"/>
  <c r="M3" i="49" s="1"/>
  <c r="M4" i="49" s="1"/>
  <c r="M20" i="49" s="1"/>
  <c r="D21" i="1"/>
  <c r="D54" i="1"/>
  <c r="D10" i="1"/>
  <c r="D24" i="1"/>
  <c r="D129" i="1"/>
  <c r="AV44" i="48"/>
  <c r="AU44" i="48"/>
  <c r="AT44" i="48"/>
  <c r="AS44" i="48"/>
  <c r="AR44" i="48"/>
  <c r="J44" i="48"/>
  <c r="AV43" i="48"/>
  <c r="AU43" i="48"/>
  <c r="AT43" i="48"/>
  <c r="AS43" i="48"/>
  <c r="AR43" i="48"/>
  <c r="J43" i="48"/>
  <c r="AV42" i="48"/>
  <c r="AU42" i="48"/>
  <c r="AT42" i="48"/>
  <c r="AS42" i="48"/>
  <c r="AR42" i="48"/>
  <c r="AV41" i="48"/>
  <c r="AU41" i="48"/>
  <c r="AT41" i="48"/>
  <c r="AS41" i="48"/>
  <c r="AR41" i="48"/>
  <c r="J41" i="48"/>
  <c r="AV40" i="48"/>
  <c r="AU40" i="48"/>
  <c r="AT40" i="48"/>
  <c r="AS40" i="48"/>
  <c r="AR40" i="48"/>
  <c r="J40" i="48"/>
  <c r="AV39" i="48"/>
  <c r="AU39" i="48"/>
  <c r="AT39" i="48"/>
  <c r="AS39" i="48"/>
  <c r="AR39" i="48"/>
  <c r="BC29" i="48"/>
  <c r="J13" i="48"/>
  <c r="BE6" i="48"/>
  <c r="J5" i="48"/>
  <c r="BE4" i="48"/>
  <c r="M3" i="48" s="1"/>
  <c r="M4" i="48" s="1"/>
  <c r="M8" i="48" s="1"/>
  <c r="AU19" i="47"/>
  <c r="AT19" i="47"/>
  <c r="AS19" i="47"/>
  <c r="AR19" i="47"/>
  <c r="AR6" i="47"/>
  <c r="AS6" i="47"/>
  <c r="AT6" i="47"/>
  <c r="AU6" i="47"/>
  <c r="AR7" i="47"/>
  <c r="AS7" i="47"/>
  <c r="AT7" i="47"/>
  <c r="AU7" i="47"/>
  <c r="AR13" i="47"/>
  <c r="AS13" i="47"/>
  <c r="AT13" i="47"/>
  <c r="AU13" i="47"/>
  <c r="AR15" i="47"/>
  <c r="AS15" i="47"/>
  <c r="AT15" i="47"/>
  <c r="AU15" i="47"/>
  <c r="AR20" i="47"/>
  <c r="AS20" i="47"/>
  <c r="AT20" i="47"/>
  <c r="AU20" i="47"/>
  <c r="AR22" i="47"/>
  <c r="AS22" i="47"/>
  <c r="AT22" i="47"/>
  <c r="AU22" i="47"/>
  <c r="AR23" i="47"/>
  <c r="AS23" i="47"/>
  <c r="AT23" i="47"/>
  <c r="AU23" i="47"/>
  <c r="AR24" i="47"/>
  <c r="AS24" i="47"/>
  <c r="AT24" i="47"/>
  <c r="AU24" i="47"/>
  <c r="AR25" i="47"/>
  <c r="AS25" i="47"/>
  <c r="AT25" i="47"/>
  <c r="AU25" i="47"/>
  <c r="AR27" i="47"/>
  <c r="AS27" i="47"/>
  <c r="AT27" i="47"/>
  <c r="AU27" i="47"/>
  <c r="AR28" i="47"/>
  <c r="AV28" i="47" s="1"/>
  <c r="AS28" i="47"/>
  <c r="AT28" i="47"/>
  <c r="AU28" i="47"/>
  <c r="D128" i="1"/>
  <c r="N30" i="54" l="1"/>
  <c r="N31" i="54" s="1"/>
  <c r="P23" i="54"/>
  <c r="P26" i="54"/>
  <c r="P20" i="54"/>
  <c r="O27" i="55"/>
  <c r="O28" i="55" s="1"/>
  <c r="O31" i="55"/>
  <c r="O29" i="55"/>
  <c r="P25" i="55"/>
  <c r="P6" i="55"/>
  <c r="P5" i="55"/>
  <c r="P22" i="55"/>
  <c r="P17" i="55"/>
  <c r="P9" i="55"/>
  <c r="P23" i="55"/>
  <c r="P7" i="55"/>
  <c r="R3" i="55"/>
  <c r="Q4" i="55"/>
  <c r="N30" i="55"/>
  <c r="O30" i="54"/>
  <c r="O31" i="54" s="1"/>
  <c r="P24" i="54"/>
  <c r="P25" i="54"/>
  <c r="AV28" i="50"/>
  <c r="P18" i="54"/>
  <c r="O34" i="54"/>
  <c r="O32" i="54"/>
  <c r="M31" i="54"/>
  <c r="P17" i="54"/>
  <c r="P10" i="54"/>
  <c r="P9" i="54"/>
  <c r="P7" i="54"/>
  <c r="P12" i="54"/>
  <c r="P6" i="54"/>
  <c r="P5" i="54"/>
  <c r="Q4" i="54"/>
  <c r="R3" i="54"/>
  <c r="M22" i="52"/>
  <c r="M12" i="52"/>
  <c r="AV26" i="50"/>
  <c r="AV20" i="7"/>
  <c r="AV11" i="7"/>
  <c r="AV18" i="7"/>
  <c r="N3" i="53"/>
  <c r="N4" i="53" s="1"/>
  <c r="AV22" i="50"/>
  <c r="AV9" i="50"/>
  <c r="AV24" i="50"/>
  <c r="AV29" i="49"/>
  <c r="AV11" i="50"/>
  <c r="AV13" i="50"/>
  <c r="AV21" i="50"/>
  <c r="AV23" i="50"/>
  <c r="AV20" i="50"/>
  <c r="M4" i="53"/>
  <c r="M24" i="53" s="1"/>
  <c r="AV8" i="7"/>
  <c r="AV19" i="7"/>
  <c r="AV14" i="7"/>
  <c r="N3" i="52"/>
  <c r="O3" i="52" s="1"/>
  <c r="O4" i="52" s="1"/>
  <c r="O22" i="52" s="1"/>
  <c r="M15" i="52"/>
  <c r="M5" i="52"/>
  <c r="M6" i="52"/>
  <c r="N3" i="7"/>
  <c r="M4" i="7"/>
  <c r="M25" i="7" s="1"/>
  <c r="AV24" i="49"/>
  <c r="AV22" i="49"/>
  <c r="AV23" i="49"/>
  <c r="AV26" i="49"/>
  <c r="AV27" i="49"/>
  <c r="AV15" i="49"/>
  <c r="AV25" i="49"/>
  <c r="AV28" i="49"/>
  <c r="AV17" i="49"/>
  <c r="N3" i="50"/>
  <c r="N4" i="50" s="1"/>
  <c r="AV6" i="48"/>
  <c r="AV18" i="48"/>
  <c r="AV14" i="48"/>
  <c r="AV7" i="48"/>
  <c r="M22" i="48"/>
  <c r="AV23" i="48"/>
  <c r="M21" i="49"/>
  <c r="M21" i="48"/>
  <c r="M4" i="50"/>
  <c r="M10" i="50" s="1"/>
  <c r="M7" i="49"/>
  <c r="M19" i="49"/>
  <c r="M6" i="49"/>
  <c r="M14" i="49"/>
  <c r="M10" i="49"/>
  <c r="M8" i="49"/>
  <c r="N3" i="49"/>
  <c r="AV13" i="47"/>
  <c r="N3" i="48"/>
  <c r="M20" i="48"/>
  <c r="M13" i="48"/>
  <c r="M17" i="48"/>
  <c r="M10" i="48"/>
  <c r="AV19" i="47"/>
  <c r="AV6" i="47"/>
  <c r="AV25" i="47"/>
  <c r="AV22" i="47"/>
  <c r="AV24" i="47"/>
  <c r="AV27" i="47"/>
  <c r="AV23" i="47"/>
  <c r="AV20" i="47"/>
  <c r="AV7" i="47"/>
  <c r="AV15" i="47"/>
  <c r="D127" i="1"/>
  <c r="D126" i="1"/>
  <c r="N33" i="54" l="1"/>
  <c r="Q26" i="54"/>
  <c r="Q23" i="54"/>
  <c r="Q20" i="54"/>
  <c r="P27" i="55"/>
  <c r="P28" i="55" s="1"/>
  <c r="P31" i="55"/>
  <c r="P29" i="55"/>
  <c r="O30" i="55"/>
  <c r="Q5" i="55"/>
  <c r="Q22" i="55"/>
  <c r="Q17" i="55"/>
  <c r="Q9" i="55"/>
  <c r="Q25" i="55"/>
  <c r="Q23" i="55"/>
  <c r="Q6" i="55"/>
  <c r="Q7" i="55"/>
  <c r="S3" i="55"/>
  <c r="R4" i="55"/>
  <c r="M24" i="7"/>
  <c r="M7" i="7"/>
  <c r="Q24" i="54"/>
  <c r="Q25" i="54"/>
  <c r="P30" i="54"/>
  <c r="P31" i="54" s="1"/>
  <c r="M7" i="53"/>
  <c r="N7" i="53"/>
  <c r="N24" i="53"/>
  <c r="M22" i="53"/>
  <c r="N22" i="53"/>
  <c r="M23" i="7"/>
  <c r="M22" i="7"/>
  <c r="Q18" i="54"/>
  <c r="N15" i="53"/>
  <c r="M15" i="53"/>
  <c r="O33" i="54"/>
  <c r="Q17" i="54"/>
  <c r="Q10" i="54"/>
  <c r="Q9" i="54"/>
  <c r="Q7" i="54"/>
  <c r="Q12" i="54"/>
  <c r="Q6" i="54"/>
  <c r="Q5" i="54"/>
  <c r="P34" i="54"/>
  <c r="P32" i="54"/>
  <c r="R4" i="54"/>
  <c r="S3" i="54"/>
  <c r="O7" i="52"/>
  <c r="N16" i="53"/>
  <c r="N5" i="53"/>
  <c r="O3" i="53"/>
  <c r="O4" i="53" s="1"/>
  <c r="M16" i="53"/>
  <c r="M5" i="53"/>
  <c r="O12" i="52"/>
  <c r="M10" i="7"/>
  <c r="M12" i="7"/>
  <c r="P3" i="52"/>
  <c r="P4" i="52" s="1"/>
  <c r="M18" i="50"/>
  <c r="N18" i="50"/>
  <c r="N25" i="50"/>
  <c r="M9" i="53"/>
  <c r="M12" i="53"/>
  <c r="M6" i="53"/>
  <c r="N9" i="53"/>
  <c r="N12" i="53"/>
  <c r="N6" i="53"/>
  <c r="N4" i="52"/>
  <c r="N22" i="52" s="1"/>
  <c r="M28" i="52"/>
  <c r="M32" i="52"/>
  <c r="M30" i="52"/>
  <c r="O6" i="52"/>
  <c r="O9" i="52"/>
  <c r="O15" i="52"/>
  <c r="O5" i="52"/>
  <c r="M6" i="7"/>
  <c r="M5" i="7"/>
  <c r="M9" i="7"/>
  <c r="M17" i="7"/>
  <c r="O3" i="7"/>
  <c r="N4" i="7"/>
  <c r="O3" i="50"/>
  <c r="O4" i="50" s="1"/>
  <c r="N17" i="50"/>
  <c r="N8" i="50"/>
  <c r="N7" i="50"/>
  <c r="N19" i="50"/>
  <c r="N10" i="50"/>
  <c r="N5" i="50"/>
  <c r="N14" i="50"/>
  <c r="M17" i="50"/>
  <c r="M14" i="50"/>
  <c r="M19" i="50"/>
  <c r="M5" i="50"/>
  <c r="M7" i="50"/>
  <c r="M8" i="50"/>
  <c r="N4" i="49"/>
  <c r="N20" i="49" s="1"/>
  <c r="O3" i="49"/>
  <c r="M35" i="49"/>
  <c r="M31" i="49"/>
  <c r="M33" i="49"/>
  <c r="M28" i="48"/>
  <c r="M31" i="48" s="1"/>
  <c r="M32" i="48"/>
  <c r="M30" i="48"/>
  <c r="N4" i="48"/>
  <c r="O3" i="48"/>
  <c r="Z68" i="1"/>
  <c r="R20" i="54" l="1"/>
  <c r="R26" i="54"/>
  <c r="R23" i="54"/>
  <c r="P30" i="55"/>
  <c r="R22" i="55"/>
  <c r="R17" i="55"/>
  <c r="R10" i="55"/>
  <c r="R9" i="55"/>
  <c r="R23" i="55"/>
  <c r="R7" i="55"/>
  <c r="R6" i="55"/>
  <c r="R25" i="55"/>
  <c r="R5" i="55"/>
  <c r="T3" i="55"/>
  <c r="S4" i="55"/>
  <c r="Q27" i="55"/>
  <c r="Q28" i="55" s="1"/>
  <c r="Q31" i="55"/>
  <c r="Q29" i="55"/>
  <c r="N24" i="7"/>
  <c r="N25" i="7"/>
  <c r="R24" i="54"/>
  <c r="R25" i="54"/>
  <c r="Q30" i="54"/>
  <c r="Q31" i="54" s="1"/>
  <c r="O7" i="53"/>
  <c r="O24" i="53"/>
  <c r="O22" i="53"/>
  <c r="N23" i="7"/>
  <c r="N22" i="7"/>
  <c r="N7" i="7"/>
  <c r="P23" i="52"/>
  <c r="P22" i="52"/>
  <c r="N31" i="50"/>
  <c r="R18" i="54"/>
  <c r="O15" i="53"/>
  <c r="S4" i="54"/>
  <c r="T3" i="54"/>
  <c r="P33" i="54"/>
  <c r="R7" i="54"/>
  <c r="R17" i="54"/>
  <c r="R6" i="54"/>
  <c r="R5" i="54"/>
  <c r="R12" i="54"/>
  <c r="R10" i="54"/>
  <c r="R9" i="54"/>
  <c r="Q32" i="54"/>
  <c r="Q34" i="54"/>
  <c r="P7" i="52"/>
  <c r="O16" i="53"/>
  <c r="O5" i="53"/>
  <c r="P3" i="53"/>
  <c r="P4" i="53" s="1"/>
  <c r="P23" i="53" s="1"/>
  <c r="N10" i="7"/>
  <c r="P12" i="52"/>
  <c r="N5" i="52"/>
  <c r="N12" i="52"/>
  <c r="N6" i="52"/>
  <c r="Q3" i="52"/>
  <c r="R3" i="52" s="1"/>
  <c r="N15" i="52"/>
  <c r="N9" i="52"/>
  <c r="O18" i="50"/>
  <c r="P3" i="50"/>
  <c r="Q3" i="50" s="1"/>
  <c r="M29" i="53"/>
  <c r="M32" i="53" s="1"/>
  <c r="M33" i="53"/>
  <c r="M31" i="53"/>
  <c r="O9" i="53"/>
  <c r="O12" i="53"/>
  <c r="O6" i="53"/>
  <c r="N29" i="53"/>
  <c r="N30" i="53" s="1"/>
  <c r="N33" i="53"/>
  <c r="N31" i="53"/>
  <c r="O28" i="52"/>
  <c r="O29" i="52" s="1"/>
  <c r="O32" i="52"/>
  <c r="O30" i="52"/>
  <c r="M29" i="52"/>
  <c r="M31" i="52"/>
  <c r="P9" i="52"/>
  <c r="P15" i="52"/>
  <c r="P5" i="52"/>
  <c r="P6" i="52"/>
  <c r="P3" i="7"/>
  <c r="O4" i="7"/>
  <c r="N5" i="7"/>
  <c r="N12" i="7"/>
  <c r="N9" i="7"/>
  <c r="N6" i="7"/>
  <c r="N17" i="7"/>
  <c r="M29" i="7"/>
  <c r="M31" i="7"/>
  <c r="M27" i="7"/>
  <c r="M30" i="7" s="1"/>
  <c r="N29" i="50"/>
  <c r="N30" i="50" s="1"/>
  <c r="N33" i="50"/>
  <c r="N21" i="48"/>
  <c r="N22" i="48"/>
  <c r="N21" i="49"/>
  <c r="M33" i="50"/>
  <c r="M31" i="50"/>
  <c r="M29" i="50"/>
  <c r="O7" i="50"/>
  <c r="O17" i="50"/>
  <c r="O14" i="50"/>
  <c r="O12" i="50"/>
  <c r="O8" i="50"/>
  <c r="O10" i="50"/>
  <c r="O5" i="50"/>
  <c r="N8" i="49"/>
  <c r="N14" i="49"/>
  <c r="N19" i="49"/>
  <c r="N5" i="49"/>
  <c r="N7" i="49"/>
  <c r="N10" i="49"/>
  <c r="N6" i="49"/>
  <c r="M32" i="49"/>
  <c r="M34" i="49"/>
  <c r="O4" i="49"/>
  <c r="O20" i="49" s="1"/>
  <c r="P3" i="49"/>
  <c r="M29" i="48"/>
  <c r="N20" i="48"/>
  <c r="N19" i="48"/>
  <c r="N17" i="48"/>
  <c r="N13" i="48"/>
  <c r="N5" i="48"/>
  <c r="N9" i="48"/>
  <c r="N15" i="48"/>
  <c r="N10" i="48"/>
  <c r="N8" i="48"/>
  <c r="O4" i="48"/>
  <c r="P3" i="48"/>
  <c r="AV45" i="47"/>
  <c r="AU45" i="47"/>
  <c r="AT45" i="47"/>
  <c r="AS45" i="47"/>
  <c r="AR45" i="47"/>
  <c r="J45" i="47"/>
  <c r="AV44" i="47"/>
  <c r="AU44" i="47"/>
  <c r="AT44" i="47"/>
  <c r="AS44" i="47"/>
  <c r="AR44" i="47"/>
  <c r="J44" i="47"/>
  <c r="AV43" i="47"/>
  <c r="AU43" i="47"/>
  <c r="AT43" i="47"/>
  <c r="AS43" i="47"/>
  <c r="AR43" i="47"/>
  <c r="AV42" i="47"/>
  <c r="AU42" i="47"/>
  <c r="AT42" i="47"/>
  <c r="AS42" i="47"/>
  <c r="AR42" i="47"/>
  <c r="J42" i="47"/>
  <c r="AV41" i="47"/>
  <c r="AU41" i="47"/>
  <c r="AT41" i="47"/>
  <c r="AS41" i="47"/>
  <c r="AR41" i="47"/>
  <c r="J41" i="47"/>
  <c r="AV40" i="47"/>
  <c r="AU40" i="47"/>
  <c r="AT40" i="47"/>
  <c r="AS40" i="47"/>
  <c r="AR40" i="47"/>
  <c r="BC30" i="47"/>
  <c r="J14" i="47"/>
  <c r="BE6" i="47"/>
  <c r="J5" i="47"/>
  <c r="BE4" i="47"/>
  <c r="M3" i="47" s="1"/>
  <c r="M4" i="47" s="1"/>
  <c r="D59" i="1"/>
  <c r="D4" i="1"/>
  <c r="D9" i="1"/>
  <c r="D52" i="1"/>
  <c r="D125" i="1"/>
  <c r="R30" i="54" l="1"/>
  <c r="R31" i="54" s="1"/>
  <c r="S20" i="54"/>
  <c r="S23" i="54"/>
  <c r="S26" i="54"/>
  <c r="R27" i="55"/>
  <c r="R28" i="55" s="1"/>
  <c r="R31" i="55"/>
  <c r="R29" i="55"/>
  <c r="Q30" i="55"/>
  <c r="S17" i="55"/>
  <c r="S10" i="55"/>
  <c r="S9" i="55"/>
  <c r="S23" i="55"/>
  <c r="S22" i="55"/>
  <c r="S7" i="55"/>
  <c r="S25" i="55"/>
  <c r="S6" i="55"/>
  <c r="S5" i="55"/>
  <c r="T4" i="55"/>
  <c r="U3" i="55"/>
  <c r="O24" i="7"/>
  <c r="O25" i="7"/>
  <c r="S25" i="54"/>
  <c r="S24" i="54"/>
  <c r="P7" i="53"/>
  <c r="P24" i="53"/>
  <c r="P22" i="53"/>
  <c r="O22" i="7"/>
  <c r="O23" i="7"/>
  <c r="O7" i="7"/>
  <c r="S18" i="54"/>
  <c r="P15" i="53"/>
  <c r="Q3" i="53"/>
  <c r="Q4" i="53" s="1"/>
  <c r="Q23" i="53" s="1"/>
  <c r="Q33" i="54"/>
  <c r="R34" i="54"/>
  <c r="R32" i="54"/>
  <c r="T4" i="54"/>
  <c r="U3" i="54"/>
  <c r="S17" i="54"/>
  <c r="S10" i="54"/>
  <c r="S9" i="54"/>
  <c r="S6" i="54"/>
  <c r="S12" i="54"/>
  <c r="S7" i="54"/>
  <c r="S5" i="54"/>
  <c r="N28" i="52"/>
  <c r="N29" i="52" s="1"/>
  <c r="P16" i="53"/>
  <c r="P5" i="53"/>
  <c r="O10" i="7"/>
  <c r="Q4" i="52"/>
  <c r="N30" i="52"/>
  <c r="N32" i="52"/>
  <c r="P4" i="50"/>
  <c r="N32" i="53"/>
  <c r="P12" i="53"/>
  <c r="P6" i="53"/>
  <c r="P9" i="53"/>
  <c r="M30" i="53"/>
  <c r="O29" i="53"/>
  <c r="O30" i="53" s="1"/>
  <c r="O33" i="53"/>
  <c r="O31" i="53"/>
  <c r="P32" i="52"/>
  <c r="P30" i="52"/>
  <c r="P28" i="52"/>
  <c r="P29" i="52" s="1"/>
  <c r="R4" i="52"/>
  <c r="S3" i="52"/>
  <c r="O31" i="52"/>
  <c r="M28" i="7"/>
  <c r="N27" i="7"/>
  <c r="N28" i="7" s="1"/>
  <c r="N31" i="7"/>
  <c r="N29" i="7"/>
  <c r="O12" i="7"/>
  <c r="O9" i="7"/>
  <c r="O5" i="7"/>
  <c r="O17" i="7"/>
  <c r="O6" i="7"/>
  <c r="Q3" i="7"/>
  <c r="P4" i="7"/>
  <c r="N32" i="50"/>
  <c r="O21" i="48"/>
  <c r="O22" i="48"/>
  <c r="O21" i="49"/>
  <c r="Q4" i="50"/>
  <c r="R3" i="50"/>
  <c r="M30" i="50"/>
  <c r="M32" i="50"/>
  <c r="O31" i="50"/>
  <c r="O33" i="50"/>
  <c r="O29" i="50"/>
  <c r="O30" i="50" s="1"/>
  <c r="Q3" i="49"/>
  <c r="P4" i="49"/>
  <c r="P20" i="49" s="1"/>
  <c r="O19" i="49"/>
  <c r="O7" i="49"/>
  <c r="O8" i="49"/>
  <c r="O6" i="49"/>
  <c r="O10" i="49"/>
  <c r="O14" i="49"/>
  <c r="O5" i="49"/>
  <c r="N35" i="49"/>
  <c r="N33" i="49"/>
  <c r="N31" i="49"/>
  <c r="N34" i="49" s="1"/>
  <c r="O17" i="48"/>
  <c r="O9" i="48"/>
  <c r="O5" i="48"/>
  <c r="O15" i="48"/>
  <c r="O10" i="48"/>
  <c r="O20" i="48"/>
  <c r="O19" i="48"/>
  <c r="O8" i="48"/>
  <c r="Q3" i="48"/>
  <c r="P4" i="48"/>
  <c r="N28" i="48"/>
  <c r="N31" i="48" s="1"/>
  <c r="N32" i="48"/>
  <c r="N30" i="48"/>
  <c r="M21" i="47"/>
  <c r="M12" i="47"/>
  <c r="M11" i="47"/>
  <c r="M8" i="47"/>
  <c r="M16" i="47"/>
  <c r="M5" i="47"/>
  <c r="M18" i="47"/>
  <c r="M14" i="47"/>
  <c r="M10" i="47"/>
  <c r="N3" i="47"/>
  <c r="T20" i="54" l="1"/>
  <c r="T26" i="54"/>
  <c r="T23" i="54"/>
  <c r="S30" i="54"/>
  <c r="S31" i="54" s="1"/>
  <c r="R30" i="55"/>
  <c r="S27" i="55"/>
  <c r="S28" i="55" s="1"/>
  <c r="S31" i="55"/>
  <c r="S29" i="55"/>
  <c r="U4" i="55"/>
  <c r="V3" i="55"/>
  <c r="T9" i="55"/>
  <c r="T17" i="55"/>
  <c r="T10" i="55"/>
  <c r="T23" i="55"/>
  <c r="T5" i="55"/>
  <c r="T7" i="55"/>
  <c r="T25" i="55"/>
  <c r="T6" i="55"/>
  <c r="T22" i="55"/>
  <c r="P24" i="7"/>
  <c r="P25" i="7"/>
  <c r="T25" i="54"/>
  <c r="T24" i="54"/>
  <c r="Q7" i="53"/>
  <c r="Q24" i="53"/>
  <c r="Q22" i="53"/>
  <c r="P23" i="7"/>
  <c r="P22" i="7"/>
  <c r="P7" i="7"/>
  <c r="Q23" i="52"/>
  <c r="Q22" i="52"/>
  <c r="R23" i="52"/>
  <c r="R22" i="52"/>
  <c r="T18" i="54"/>
  <c r="R3" i="53"/>
  <c r="R4" i="53" s="1"/>
  <c r="R23" i="53" s="1"/>
  <c r="Q15" i="53"/>
  <c r="S34" i="54"/>
  <c r="S32" i="54"/>
  <c r="V3" i="54"/>
  <c r="U4" i="54"/>
  <c r="R33" i="54"/>
  <c r="T7" i="54"/>
  <c r="T12" i="54"/>
  <c r="T6" i="54"/>
  <c r="T5" i="54"/>
  <c r="T9" i="54"/>
  <c r="T17" i="54"/>
  <c r="T10" i="54"/>
  <c r="N31" i="52"/>
  <c r="R7" i="52"/>
  <c r="Q7" i="52"/>
  <c r="Q6" i="52"/>
  <c r="Q5" i="52"/>
  <c r="Q15" i="52"/>
  <c r="Q9" i="52"/>
  <c r="Q5" i="53"/>
  <c r="P10" i="7"/>
  <c r="R12" i="52"/>
  <c r="Q12" i="52"/>
  <c r="P12" i="50"/>
  <c r="P14" i="50"/>
  <c r="P17" i="50"/>
  <c r="P18" i="50"/>
  <c r="P7" i="50"/>
  <c r="P10" i="50"/>
  <c r="P8" i="50"/>
  <c r="Q18" i="50"/>
  <c r="P5" i="50"/>
  <c r="P29" i="50" s="1"/>
  <c r="P30" i="50" s="1"/>
  <c r="S3" i="53"/>
  <c r="Q12" i="53"/>
  <c r="Q6" i="53"/>
  <c r="Q9" i="53"/>
  <c r="O32" i="53"/>
  <c r="P29" i="53"/>
  <c r="P30" i="53" s="1"/>
  <c r="P33" i="53"/>
  <c r="P31" i="53"/>
  <c r="P31" i="52"/>
  <c r="R9" i="52"/>
  <c r="R5" i="52"/>
  <c r="R15" i="52"/>
  <c r="R6" i="52"/>
  <c r="S4" i="52"/>
  <c r="T3" i="52"/>
  <c r="O27" i="7"/>
  <c r="O28" i="7" s="1"/>
  <c r="O31" i="7"/>
  <c r="O29" i="7"/>
  <c r="N30" i="7"/>
  <c r="R3" i="7"/>
  <c r="Q4" i="7"/>
  <c r="P12" i="7"/>
  <c r="P9" i="7"/>
  <c r="P17" i="7"/>
  <c r="P6" i="7"/>
  <c r="P5" i="7"/>
  <c r="P21" i="48"/>
  <c r="P22" i="48"/>
  <c r="P21" i="49"/>
  <c r="R4" i="50"/>
  <c r="S3" i="50"/>
  <c r="Q10" i="50"/>
  <c r="Q17" i="50"/>
  <c r="Q14" i="50"/>
  <c r="Q12" i="50"/>
  <c r="Q8" i="50"/>
  <c r="Q6" i="50"/>
  <c r="Q5" i="50"/>
  <c r="Q7" i="50"/>
  <c r="O32" i="50"/>
  <c r="O31" i="49"/>
  <c r="O32" i="49" s="1"/>
  <c r="O35" i="49"/>
  <c r="O33" i="49"/>
  <c r="P19" i="49"/>
  <c r="P7" i="49"/>
  <c r="P5" i="49"/>
  <c r="P6" i="49"/>
  <c r="P10" i="49"/>
  <c r="P8" i="49"/>
  <c r="P14" i="49"/>
  <c r="R3" i="49"/>
  <c r="Q4" i="49"/>
  <c r="Q20" i="49" s="1"/>
  <c r="N32" i="49"/>
  <c r="P8" i="48"/>
  <c r="P17" i="48"/>
  <c r="P9" i="48"/>
  <c r="P5" i="48"/>
  <c r="P10" i="48"/>
  <c r="P20" i="48"/>
  <c r="P19" i="48"/>
  <c r="R3" i="48"/>
  <c r="Q4" i="48"/>
  <c r="O29" i="48"/>
  <c r="O32" i="48"/>
  <c r="O30" i="48"/>
  <c r="N29" i="48"/>
  <c r="N4" i="47"/>
  <c r="O3" i="47"/>
  <c r="M29" i="47"/>
  <c r="M32" i="47" s="1"/>
  <c r="M33" i="47"/>
  <c r="M31" i="47"/>
  <c r="D31" i="1"/>
  <c r="W7" i="1"/>
  <c r="V7" i="1"/>
  <c r="U7" i="1"/>
  <c r="T7" i="1"/>
  <c r="S7" i="1"/>
  <c r="R7" i="1"/>
  <c r="Q7" i="1"/>
  <c r="P7" i="1"/>
  <c r="O7" i="1"/>
  <c r="N7" i="1"/>
  <c r="M7" i="1"/>
  <c r="L7" i="1"/>
  <c r="D124" i="1"/>
  <c r="D122" i="1"/>
  <c r="D123" i="1"/>
  <c r="D121" i="1"/>
  <c r="D120" i="1"/>
  <c r="D19" i="1"/>
  <c r="D43" i="1"/>
  <c r="D119" i="1"/>
  <c r="D118" i="1"/>
  <c r="D32" i="1"/>
  <c r="D20" i="1"/>
  <c r="D22" i="1"/>
  <c r="D29" i="1"/>
  <c r="U20" i="54" l="1"/>
  <c r="U23" i="54"/>
  <c r="U26" i="54"/>
  <c r="T27" i="55"/>
  <c r="T28" i="55" s="1"/>
  <c r="T31" i="55"/>
  <c r="T29" i="55"/>
  <c r="S30" i="55"/>
  <c r="V4" i="55"/>
  <c r="W3" i="55"/>
  <c r="U17" i="55"/>
  <c r="U10" i="55"/>
  <c r="U9" i="55"/>
  <c r="U23" i="55"/>
  <c r="U6" i="55"/>
  <c r="U5" i="55"/>
  <c r="U7" i="55"/>
  <c r="U25" i="55"/>
  <c r="U22" i="55"/>
  <c r="Q24" i="7"/>
  <c r="Q25" i="7"/>
  <c r="U25" i="54"/>
  <c r="U24" i="54"/>
  <c r="T30" i="54"/>
  <c r="T31" i="54" s="1"/>
  <c r="R7" i="53"/>
  <c r="R24" i="53"/>
  <c r="R22" i="53"/>
  <c r="Q22" i="7"/>
  <c r="Q23" i="7"/>
  <c r="Q7" i="7"/>
  <c r="S23" i="52"/>
  <c r="S22" i="52"/>
  <c r="U18" i="54"/>
  <c r="S33" i="54"/>
  <c r="U7" i="54"/>
  <c r="U12" i="54"/>
  <c r="U6" i="54"/>
  <c r="U5" i="54"/>
  <c r="U9" i="54"/>
  <c r="U17" i="54"/>
  <c r="U10" i="54"/>
  <c r="V4" i="54"/>
  <c r="W3" i="54"/>
  <c r="T34" i="54"/>
  <c r="T32" i="54"/>
  <c r="S7" i="52"/>
  <c r="Q30" i="52"/>
  <c r="Q28" i="52"/>
  <c r="Q29" i="52" s="1"/>
  <c r="Q32" i="52"/>
  <c r="R5" i="53"/>
  <c r="Q10" i="7"/>
  <c r="S12" i="52"/>
  <c r="P33" i="50"/>
  <c r="R18" i="50"/>
  <c r="P31" i="50"/>
  <c r="Q29" i="53"/>
  <c r="Q30" i="53" s="1"/>
  <c r="Q33" i="53"/>
  <c r="Q31" i="53"/>
  <c r="P32" i="53"/>
  <c r="S4" i="53"/>
  <c r="S23" i="53" s="1"/>
  <c r="T3" i="53"/>
  <c r="R6" i="53"/>
  <c r="R9" i="53"/>
  <c r="R12" i="53"/>
  <c r="S9" i="52"/>
  <c r="S6" i="52"/>
  <c r="S5" i="52"/>
  <c r="R28" i="52"/>
  <c r="R29" i="52" s="1"/>
  <c r="R32" i="52"/>
  <c r="R30" i="52"/>
  <c r="T4" i="52"/>
  <c r="U3" i="52"/>
  <c r="O30" i="7"/>
  <c r="Q12" i="7"/>
  <c r="Q9" i="7"/>
  <c r="Q17" i="7"/>
  <c r="Q6" i="7"/>
  <c r="Q5" i="7"/>
  <c r="R4" i="7"/>
  <c r="S3" i="7"/>
  <c r="P27" i="7"/>
  <c r="P28" i="7" s="1"/>
  <c r="P31" i="7"/>
  <c r="P29" i="7"/>
  <c r="Q21" i="48"/>
  <c r="Q22" i="48"/>
  <c r="Q21" i="49"/>
  <c r="S4" i="50"/>
  <c r="T3" i="50"/>
  <c r="R19" i="50"/>
  <c r="R10" i="50"/>
  <c r="R5" i="50"/>
  <c r="R17" i="50"/>
  <c r="R14" i="50"/>
  <c r="R12" i="50"/>
  <c r="R8" i="50"/>
  <c r="R7" i="50"/>
  <c r="R6" i="50"/>
  <c r="Q29" i="50"/>
  <c r="Q30" i="50" s="1"/>
  <c r="Q33" i="50"/>
  <c r="Q31" i="50"/>
  <c r="P32" i="50"/>
  <c r="Q14" i="49"/>
  <c r="Q10" i="49"/>
  <c r="Q5" i="49"/>
  <c r="Q19" i="49"/>
  <c r="Q6" i="49"/>
  <c r="Q12" i="49"/>
  <c r="Q7" i="49"/>
  <c r="Q8" i="49"/>
  <c r="R4" i="49"/>
  <c r="R20" i="49" s="1"/>
  <c r="S3" i="49"/>
  <c r="O34" i="49"/>
  <c r="P31" i="49"/>
  <c r="P32" i="49" s="1"/>
  <c r="P35" i="49"/>
  <c r="P33" i="49"/>
  <c r="S3" i="48"/>
  <c r="R4" i="48"/>
  <c r="P28" i="48"/>
  <c r="P31" i="48" s="1"/>
  <c r="P32" i="48"/>
  <c r="P30" i="48"/>
  <c r="O31" i="48"/>
  <c r="Q9" i="48"/>
  <c r="Q5" i="48"/>
  <c r="Q10" i="48"/>
  <c r="Q20" i="48"/>
  <c r="Q19" i="48"/>
  <c r="Q8" i="48"/>
  <c r="Q17" i="48"/>
  <c r="N21" i="47"/>
  <c r="N12" i="47"/>
  <c r="N11" i="47"/>
  <c r="M30" i="47"/>
  <c r="O4" i="47"/>
  <c r="O26" i="47" s="1"/>
  <c r="P3" i="47"/>
  <c r="N8" i="47"/>
  <c r="N9" i="47"/>
  <c r="N16" i="47"/>
  <c r="N5" i="47"/>
  <c r="N18" i="47"/>
  <c r="N14" i="47"/>
  <c r="N10" i="47"/>
  <c r="D117" i="1"/>
  <c r="D116" i="1"/>
  <c r="D115" i="1"/>
  <c r="D70" i="1"/>
  <c r="U30" i="54" l="1"/>
  <c r="U31" i="54" s="1"/>
  <c r="V26" i="54"/>
  <c r="V20" i="54"/>
  <c r="V23" i="54"/>
  <c r="U27" i="55"/>
  <c r="U28" i="55" s="1"/>
  <c r="U31" i="55"/>
  <c r="U29" i="55"/>
  <c r="T30" i="55"/>
  <c r="W4" i="55"/>
  <c r="X3" i="55"/>
  <c r="V23" i="55"/>
  <c r="V6" i="55"/>
  <c r="V5" i="55"/>
  <c r="V7" i="55"/>
  <c r="V25" i="55"/>
  <c r="V10" i="55"/>
  <c r="V9" i="55"/>
  <c r="V22" i="55"/>
  <c r="V17" i="55"/>
  <c r="R24" i="7"/>
  <c r="R25" i="7"/>
  <c r="V25" i="54"/>
  <c r="V24" i="54"/>
  <c r="S7" i="53"/>
  <c r="S24" i="53"/>
  <c r="S22" i="53"/>
  <c r="R22" i="7"/>
  <c r="R23" i="7"/>
  <c r="R7" i="7"/>
  <c r="T23" i="52"/>
  <c r="T22" i="52"/>
  <c r="V18" i="54"/>
  <c r="U34" i="54"/>
  <c r="U32" i="54"/>
  <c r="T33" i="54"/>
  <c r="X3" i="54"/>
  <c r="W4" i="54"/>
  <c r="V5" i="54"/>
  <c r="V7" i="54"/>
  <c r="V6" i="54"/>
  <c r="V12" i="54"/>
  <c r="V17" i="54"/>
  <c r="V10" i="54"/>
  <c r="V9" i="54"/>
  <c r="T7" i="52"/>
  <c r="Q31" i="52"/>
  <c r="S16" i="53"/>
  <c r="S5" i="53"/>
  <c r="R10" i="7"/>
  <c r="T12" i="52"/>
  <c r="S18" i="50"/>
  <c r="Q32" i="53"/>
  <c r="U3" i="53"/>
  <c r="T4" i="53"/>
  <c r="T23" i="53" s="1"/>
  <c r="S6" i="53"/>
  <c r="S9" i="53"/>
  <c r="S12" i="53"/>
  <c r="R29" i="53"/>
  <c r="R30" i="53" s="1"/>
  <c r="R33" i="53"/>
  <c r="R31" i="53"/>
  <c r="T6" i="52"/>
  <c r="T5" i="52"/>
  <c r="T9" i="52"/>
  <c r="R31" i="52"/>
  <c r="U4" i="52"/>
  <c r="V3" i="52"/>
  <c r="S28" i="52"/>
  <c r="S29" i="52" s="1"/>
  <c r="S32" i="52"/>
  <c r="S30" i="52"/>
  <c r="S4" i="7"/>
  <c r="T3" i="7"/>
  <c r="R9" i="7"/>
  <c r="R17" i="7"/>
  <c r="R12" i="7"/>
  <c r="R6" i="7"/>
  <c r="R5" i="7"/>
  <c r="P30" i="7"/>
  <c r="Q27" i="7"/>
  <c r="Q28" i="7" s="1"/>
  <c r="Q31" i="7"/>
  <c r="Q29" i="7"/>
  <c r="R21" i="48"/>
  <c r="R22" i="48"/>
  <c r="R29" i="50"/>
  <c r="R30" i="50" s="1"/>
  <c r="R33" i="50"/>
  <c r="R31" i="50"/>
  <c r="T4" i="50"/>
  <c r="U3" i="50"/>
  <c r="S17" i="50"/>
  <c r="S14" i="50"/>
  <c r="S19" i="50"/>
  <c r="S10" i="50"/>
  <c r="S8" i="50"/>
  <c r="S7" i="50"/>
  <c r="S5" i="50"/>
  <c r="S6" i="50"/>
  <c r="Q32" i="50"/>
  <c r="S4" i="49"/>
  <c r="S20" i="49" s="1"/>
  <c r="T3" i="49"/>
  <c r="R10" i="49"/>
  <c r="R14" i="49"/>
  <c r="R12" i="49"/>
  <c r="R19" i="49"/>
  <c r="R7" i="49"/>
  <c r="R6" i="49"/>
  <c r="R8" i="49"/>
  <c r="R5" i="49"/>
  <c r="Q35" i="49"/>
  <c r="Q33" i="49"/>
  <c r="Q31" i="49"/>
  <c r="Q32" i="49" s="1"/>
  <c r="P34" i="49"/>
  <c r="P29" i="48"/>
  <c r="Q29" i="48"/>
  <c r="Q32" i="48"/>
  <c r="Q30" i="48"/>
  <c r="R5" i="48"/>
  <c r="R10" i="48"/>
  <c r="R20" i="48"/>
  <c r="R19" i="48"/>
  <c r="R8" i="48"/>
  <c r="R17" i="48"/>
  <c r="R9" i="48"/>
  <c r="T3" i="48"/>
  <c r="S4" i="48"/>
  <c r="O12" i="47"/>
  <c r="O21" i="47"/>
  <c r="O11" i="47"/>
  <c r="P4" i="47"/>
  <c r="P26" i="47" s="1"/>
  <c r="Q3" i="47"/>
  <c r="O16" i="47"/>
  <c r="O18" i="47"/>
  <c r="O14" i="47"/>
  <c r="O10" i="47"/>
  <c r="O9" i="47"/>
  <c r="O8" i="47"/>
  <c r="N29" i="47"/>
  <c r="N33" i="47"/>
  <c r="N31" i="47"/>
  <c r="D53" i="1"/>
  <c r="D62" i="1"/>
  <c r="D38" i="1"/>
  <c r="W26" i="54" l="1"/>
  <c r="W23" i="54"/>
  <c r="W20" i="54"/>
  <c r="X4" i="55"/>
  <c r="Y3" i="55"/>
  <c r="U30" i="55"/>
  <c r="W23" i="55"/>
  <c r="W7" i="55"/>
  <c r="W25" i="55"/>
  <c r="W6" i="55"/>
  <c r="W5" i="55"/>
  <c r="W10" i="55"/>
  <c r="W22" i="55"/>
  <c r="W17" i="55"/>
  <c r="W9" i="55"/>
  <c r="V27" i="55"/>
  <c r="V28" i="55" s="1"/>
  <c r="V31" i="55"/>
  <c r="V29" i="55"/>
  <c r="S24" i="7"/>
  <c r="S25" i="7"/>
  <c r="V30" i="54"/>
  <c r="V31" i="54" s="1"/>
  <c r="W24" i="54"/>
  <c r="W25" i="54"/>
  <c r="T7" i="53"/>
  <c r="T24" i="53"/>
  <c r="T22" i="53"/>
  <c r="S23" i="7"/>
  <c r="S22" i="7"/>
  <c r="S7" i="7"/>
  <c r="U23" i="52"/>
  <c r="U22" i="52"/>
  <c r="W18" i="54"/>
  <c r="V34" i="54"/>
  <c r="V32" i="54"/>
  <c r="Y3" i="54"/>
  <c r="X4" i="54"/>
  <c r="W7" i="54"/>
  <c r="W6" i="54"/>
  <c r="W17" i="54"/>
  <c r="W12" i="54"/>
  <c r="W5" i="54"/>
  <c r="W9" i="54"/>
  <c r="W10" i="54"/>
  <c r="U33" i="54"/>
  <c r="U7" i="52"/>
  <c r="T5" i="53"/>
  <c r="T16" i="53"/>
  <c r="S10" i="7"/>
  <c r="U12" i="52"/>
  <c r="T18" i="50"/>
  <c r="T6" i="53"/>
  <c r="T9" i="53"/>
  <c r="T12" i="53"/>
  <c r="V3" i="53"/>
  <c r="U4" i="53"/>
  <c r="R32" i="53"/>
  <c r="S29" i="53"/>
  <c r="S30" i="53" s="1"/>
  <c r="S33" i="53"/>
  <c r="S31" i="53"/>
  <c r="S31" i="52"/>
  <c r="T28" i="52"/>
  <c r="T29" i="52" s="1"/>
  <c r="T32" i="52"/>
  <c r="T30" i="52"/>
  <c r="V4" i="52"/>
  <c r="W3" i="52"/>
  <c r="U15" i="52"/>
  <c r="U6" i="52"/>
  <c r="U5" i="52"/>
  <c r="U9" i="52"/>
  <c r="S9" i="7"/>
  <c r="S17" i="7"/>
  <c r="S6" i="7"/>
  <c r="S5" i="7"/>
  <c r="S12" i="7"/>
  <c r="R27" i="7"/>
  <c r="R28" i="7" s="1"/>
  <c r="R31" i="7"/>
  <c r="R29" i="7"/>
  <c r="Q30" i="7"/>
  <c r="T4" i="7"/>
  <c r="U3" i="7"/>
  <c r="S21" i="48"/>
  <c r="S22" i="48"/>
  <c r="R32" i="50"/>
  <c r="U4" i="50"/>
  <c r="U19" i="50" s="1"/>
  <c r="V3" i="50"/>
  <c r="T17" i="50"/>
  <c r="T8" i="50"/>
  <c r="T14" i="50"/>
  <c r="T7" i="50"/>
  <c r="T10" i="50"/>
  <c r="T5" i="50"/>
  <c r="T19" i="50"/>
  <c r="S33" i="50"/>
  <c r="S31" i="50"/>
  <c r="S29" i="50"/>
  <c r="S30" i="50" s="1"/>
  <c r="Q34" i="49"/>
  <c r="R35" i="49"/>
  <c r="R33" i="49"/>
  <c r="R31" i="49"/>
  <c r="R32" i="49" s="1"/>
  <c r="U3" i="49"/>
  <c r="T4" i="49"/>
  <c r="T20" i="49" s="1"/>
  <c r="S12" i="49"/>
  <c r="S14" i="49"/>
  <c r="S10" i="49"/>
  <c r="S19" i="49"/>
  <c r="S7" i="49"/>
  <c r="S6" i="49"/>
  <c r="S8" i="49"/>
  <c r="S5" i="49"/>
  <c r="R28" i="48"/>
  <c r="R29" i="48" s="1"/>
  <c r="R32" i="48"/>
  <c r="R30" i="48"/>
  <c r="Q31" i="48"/>
  <c r="S16" i="48"/>
  <c r="S10" i="48"/>
  <c r="S20" i="48"/>
  <c r="S19" i="48"/>
  <c r="S8" i="48"/>
  <c r="S17" i="48"/>
  <c r="S9" i="48"/>
  <c r="S5" i="48"/>
  <c r="U3" i="48"/>
  <c r="T4" i="48"/>
  <c r="P12" i="47"/>
  <c r="P21" i="47"/>
  <c r="P11" i="47"/>
  <c r="N30" i="47"/>
  <c r="O29" i="47"/>
  <c r="O30" i="47" s="1"/>
  <c r="O33" i="47"/>
  <c r="O31" i="47"/>
  <c r="N32" i="47"/>
  <c r="Q4" i="47"/>
  <c r="Q26" i="47" s="1"/>
  <c r="R3" i="47"/>
  <c r="P9" i="47"/>
  <c r="P18" i="47"/>
  <c r="P14" i="47"/>
  <c r="P10" i="47"/>
  <c r="P8" i="47"/>
  <c r="D114" i="1"/>
  <c r="X23" i="54" l="1"/>
  <c r="X20" i="54"/>
  <c r="X26" i="54"/>
  <c r="U7" i="53"/>
  <c r="U23" i="53"/>
  <c r="W27" i="55"/>
  <c r="W28" i="55" s="1"/>
  <c r="W31" i="55"/>
  <c r="W29" i="55"/>
  <c r="V30" i="55"/>
  <c r="Z3" i="55"/>
  <c r="Y4" i="55"/>
  <c r="X7" i="55"/>
  <c r="X25" i="55"/>
  <c r="X6" i="55"/>
  <c r="X5" i="55"/>
  <c r="X22" i="55"/>
  <c r="X17" i="55"/>
  <c r="X10" i="55"/>
  <c r="X9" i="55"/>
  <c r="X23" i="55"/>
  <c r="T24" i="7"/>
  <c r="T25" i="7"/>
  <c r="X25" i="54"/>
  <c r="X24" i="54"/>
  <c r="W30" i="54"/>
  <c r="W31" i="54" s="1"/>
  <c r="U22" i="53"/>
  <c r="T23" i="7"/>
  <c r="T22" i="7"/>
  <c r="T7" i="7"/>
  <c r="V23" i="52"/>
  <c r="V22" i="52"/>
  <c r="X18" i="54"/>
  <c r="X12" i="54"/>
  <c r="X6" i="54"/>
  <c r="X5" i="54"/>
  <c r="X9" i="54"/>
  <c r="X17" i="54"/>
  <c r="X7" i="54"/>
  <c r="W34" i="54"/>
  <c r="W32" i="54"/>
  <c r="Z3" i="54"/>
  <c r="Y4" i="54"/>
  <c r="V33" i="54"/>
  <c r="V7" i="52"/>
  <c r="U16" i="53"/>
  <c r="U5" i="53"/>
  <c r="T10" i="7"/>
  <c r="V12" i="52"/>
  <c r="U18" i="50"/>
  <c r="U6" i="53"/>
  <c r="U12" i="53"/>
  <c r="W3" i="53"/>
  <c r="V4" i="53"/>
  <c r="T29" i="53"/>
  <c r="T30" i="53" s="1"/>
  <c r="T33" i="53"/>
  <c r="T31" i="53"/>
  <c r="S32" i="53"/>
  <c r="W4" i="52"/>
  <c r="X3" i="52"/>
  <c r="V15" i="52"/>
  <c r="V6" i="52"/>
  <c r="V5" i="52"/>
  <c r="V10" i="52"/>
  <c r="V9" i="52"/>
  <c r="U28" i="52"/>
  <c r="U29" i="52" s="1"/>
  <c r="U32" i="52"/>
  <c r="U30" i="52"/>
  <c r="T31" i="52"/>
  <c r="S27" i="7"/>
  <c r="S28" i="7" s="1"/>
  <c r="S31" i="7"/>
  <c r="S29" i="7"/>
  <c r="T9" i="7"/>
  <c r="T17" i="7"/>
  <c r="T6" i="7"/>
  <c r="T5" i="7"/>
  <c r="T12" i="7"/>
  <c r="U4" i="7"/>
  <c r="V3" i="7"/>
  <c r="R30" i="7"/>
  <c r="T21" i="48"/>
  <c r="T22" i="48"/>
  <c r="W3" i="50"/>
  <c r="V4" i="50"/>
  <c r="U7" i="50"/>
  <c r="U14" i="50"/>
  <c r="U8" i="50"/>
  <c r="U17" i="50"/>
  <c r="U10" i="50"/>
  <c r="U5" i="50"/>
  <c r="T33" i="50"/>
  <c r="T29" i="50"/>
  <c r="T30" i="50" s="1"/>
  <c r="T31" i="50"/>
  <c r="S32" i="50"/>
  <c r="T12" i="49"/>
  <c r="T8" i="49"/>
  <c r="T7" i="49"/>
  <c r="T5" i="49"/>
  <c r="T10" i="49"/>
  <c r="T6" i="49"/>
  <c r="T19" i="49"/>
  <c r="T14" i="49"/>
  <c r="S31" i="49"/>
  <c r="S32" i="49" s="1"/>
  <c r="S35" i="49"/>
  <c r="S33" i="49"/>
  <c r="U4" i="49"/>
  <c r="U20" i="49" s="1"/>
  <c r="V3" i="49"/>
  <c r="R34" i="49"/>
  <c r="T16" i="48"/>
  <c r="T15" i="48"/>
  <c r="T10" i="48"/>
  <c r="T8" i="48"/>
  <c r="T20" i="48"/>
  <c r="T19" i="48"/>
  <c r="T17" i="48"/>
  <c r="T9" i="48"/>
  <c r="T5" i="48"/>
  <c r="V3" i="48"/>
  <c r="U4" i="48"/>
  <c r="S28" i="48"/>
  <c r="S29" i="48" s="1"/>
  <c r="S32" i="48"/>
  <c r="S30" i="48"/>
  <c r="R31" i="48"/>
  <c r="Q12" i="47"/>
  <c r="Q11" i="47"/>
  <c r="O32" i="47"/>
  <c r="P29" i="47"/>
  <c r="P30" i="47" s="1"/>
  <c r="P33" i="47"/>
  <c r="P31" i="47"/>
  <c r="R4" i="47"/>
  <c r="R26" i="47" s="1"/>
  <c r="S3" i="47"/>
  <c r="Q9" i="47"/>
  <c r="Q18" i="47"/>
  <c r="Q14" i="47"/>
  <c r="Q10" i="47"/>
  <c r="Q8" i="47"/>
  <c r="Y23" i="54" l="1"/>
  <c r="Y20" i="54"/>
  <c r="V7" i="53"/>
  <c r="V23" i="53"/>
  <c r="Y7" i="55"/>
  <c r="Y25" i="55"/>
  <c r="Y6" i="55"/>
  <c r="Y5" i="55"/>
  <c r="Y22" i="55"/>
  <c r="Y17" i="55"/>
  <c r="Y10" i="55"/>
  <c r="Y9" i="55"/>
  <c r="Y23" i="55"/>
  <c r="X31" i="55"/>
  <c r="X29" i="55"/>
  <c r="X27" i="55"/>
  <c r="X28" i="55" s="1"/>
  <c r="AA3" i="55"/>
  <c r="Z4" i="55"/>
  <c r="W30" i="55"/>
  <c r="U24" i="7"/>
  <c r="U25" i="7"/>
  <c r="Y24" i="54"/>
  <c r="Y25" i="54"/>
  <c r="X30" i="54"/>
  <c r="X31" i="54" s="1"/>
  <c r="V22" i="53"/>
  <c r="U23" i="7"/>
  <c r="U22" i="7"/>
  <c r="U7" i="7"/>
  <c r="W23" i="52"/>
  <c r="W22" i="52"/>
  <c r="Y18" i="54"/>
  <c r="W33" i="54"/>
  <c r="X34" i="54"/>
  <c r="X32" i="54"/>
  <c r="Y7" i="54"/>
  <c r="Y17" i="54"/>
  <c r="Y9" i="54"/>
  <c r="Y12" i="54"/>
  <c r="Y6" i="54"/>
  <c r="Y5" i="54"/>
  <c r="AA3" i="54"/>
  <c r="Z4" i="54"/>
  <c r="W7" i="52"/>
  <c r="V5" i="53"/>
  <c r="V16" i="53"/>
  <c r="U10" i="7"/>
  <c r="W12" i="52"/>
  <c r="V15" i="50"/>
  <c r="T32" i="53"/>
  <c r="V12" i="53"/>
  <c r="V6" i="53"/>
  <c r="X3" i="53"/>
  <c r="W4" i="53"/>
  <c r="U29" i="53"/>
  <c r="U30" i="53" s="1"/>
  <c r="U33" i="53"/>
  <c r="U31" i="53"/>
  <c r="U31" i="52"/>
  <c r="Y3" i="52"/>
  <c r="X4" i="52"/>
  <c r="W15" i="52"/>
  <c r="W10" i="52"/>
  <c r="W9" i="52"/>
  <c r="W6" i="52"/>
  <c r="W5" i="52"/>
  <c r="V28" i="52"/>
  <c r="V29" i="52" s="1"/>
  <c r="V32" i="52"/>
  <c r="V30" i="52"/>
  <c r="V4" i="7"/>
  <c r="W3" i="7"/>
  <c r="S30" i="7"/>
  <c r="U17" i="7"/>
  <c r="U6" i="7"/>
  <c r="U5" i="7"/>
  <c r="U12" i="7"/>
  <c r="U9" i="7"/>
  <c r="T27" i="7"/>
  <c r="T28" i="7" s="1"/>
  <c r="T31" i="7"/>
  <c r="T29" i="7"/>
  <c r="U21" i="48"/>
  <c r="U22" i="48"/>
  <c r="U33" i="50"/>
  <c r="U29" i="50"/>
  <c r="U30" i="50" s="1"/>
  <c r="U31" i="50"/>
  <c r="T32" i="50"/>
  <c r="V5" i="50"/>
  <c r="V17" i="50"/>
  <c r="V7" i="50"/>
  <c r="V10" i="50"/>
  <c r="V14" i="50"/>
  <c r="V12" i="50"/>
  <c r="V8" i="50"/>
  <c r="X3" i="50"/>
  <c r="W4" i="50"/>
  <c r="T28" i="48"/>
  <c r="T29" i="48" s="1"/>
  <c r="T35" i="49"/>
  <c r="T33" i="49"/>
  <c r="T31" i="49"/>
  <c r="T32" i="49" s="1"/>
  <c r="U7" i="49"/>
  <c r="U5" i="49"/>
  <c r="U8" i="49"/>
  <c r="U10" i="49"/>
  <c r="U12" i="49"/>
  <c r="U6" i="49"/>
  <c r="U14" i="49"/>
  <c r="U19" i="49"/>
  <c r="V4" i="49"/>
  <c r="V20" i="49" s="1"/>
  <c r="W3" i="49"/>
  <c r="S34" i="49"/>
  <c r="T32" i="48"/>
  <c r="T30" i="48"/>
  <c r="V4" i="48"/>
  <c r="W3" i="48"/>
  <c r="U16" i="48"/>
  <c r="U15" i="48"/>
  <c r="U10" i="48"/>
  <c r="U20" i="48"/>
  <c r="U19" i="48"/>
  <c r="U8" i="48"/>
  <c r="U17" i="48"/>
  <c r="U13" i="48"/>
  <c r="U9" i="48"/>
  <c r="U5" i="48"/>
  <c r="S31" i="48"/>
  <c r="R12" i="47"/>
  <c r="R11" i="47"/>
  <c r="P32" i="47"/>
  <c r="R9" i="47"/>
  <c r="R18" i="47"/>
  <c r="R14" i="47"/>
  <c r="R10" i="47"/>
  <c r="R8" i="47"/>
  <c r="Q29" i="47"/>
  <c r="Q32" i="47" s="1"/>
  <c r="Q33" i="47"/>
  <c r="Q31" i="47"/>
  <c r="T3" i="47"/>
  <c r="S4" i="47"/>
  <c r="S26" i="47" s="1"/>
  <c r="D2" i="1"/>
  <c r="D113" i="1"/>
  <c r="D112" i="1"/>
  <c r="D111" i="1"/>
  <c r="D110" i="1"/>
  <c r="Z23" i="54" l="1"/>
  <c r="Z20" i="54"/>
  <c r="W23" i="53"/>
  <c r="W15" i="53"/>
  <c r="Z7" i="55"/>
  <c r="Z25" i="55"/>
  <c r="Z6" i="55"/>
  <c r="Z5" i="55"/>
  <c r="Z22" i="55"/>
  <c r="Z17" i="55"/>
  <c r="Z10" i="55"/>
  <c r="Z9" i="55"/>
  <c r="Z23" i="55"/>
  <c r="Y29" i="55"/>
  <c r="Y31" i="55"/>
  <c r="Y27" i="55"/>
  <c r="Y28" i="55" s="1"/>
  <c r="AB3" i="55"/>
  <c r="AA4" i="55"/>
  <c r="X30" i="55"/>
  <c r="V24" i="7"/>
  <c r="V25" i="7"/>
  <c r="Z24" i="54"/>
  <c r="Z25" i="54"/>
  <c r="Y30" i="54"/>
  <c r="Y31" i="54" s="1"/>
  <c r="W7" i="53"/>
  <c r="W24" i="53"/>
  <c r="W22" i="53"/>
  <c r="V22" i="7"/>
  <c r="V23" i="7"/>
  <c r="V7" i="7"/>
  <c r="X23" i="52"/>
  <c r="X22" i="52"/>
  <c r="Z18" i="54"/>
  <c r="Z12" i="54"/>
  <c r="Z6" i="54"/>
  <c r="Z5" i="54"/>
  <c r="Z17" i="54"/>
  <c r="Z9" i="54"/>
  <c r="Z7" i="54"/>
  <c r="X33" i="54"/>
  <c r="AA4" i="54"/>
  <c r="AB3" i="54"/>
  <c r="Y34" i="54"/>
  <c r="Y32" i="54"/>
  <c r="X7" i="52"/>
  <c r="W5" i="53"/>
  <c r="W16" i="53"/>
  <c r="V10" i="7"/>
  <c r="X12" i="52"/>
  <c r="AR15" i="50"/>
  <c r="U32" i="53"/>
  <c r="V29" i="53"/>
  <c r="V30" i="53" s="1"/>
  <c r="V33" i="53"/>
  <c r="V31" i="53"/>
  <c r="W9" i="53"/>
  <c r="W12" i="53"/>
  <c r="W6" i="53"/>
  <c r="X4" i="53"/>
  <c r="Y3" i="53"/>
  <c r="V31" i="52"/>
  <c r="X15" i="52"/>
  <c r="X6" i="52"/>
  <c r="X5" i="52"/>
  <c r="X10" i="52"/>
  <c r="X9" i="52"/>
  <c r="Z3" i="52"/>
  <c r="Y4" i="52"/>
  <c r="W28" i="52"/>
  <c r="W29" i="52" s="1"/>
  <c r="W32" i="52"/>
  <c r="W30" i="52"/>
  <c r="T30" i="7"/>
  <c r="W4" i="7"/>
  <c r="X3" i="7"/>
  <c r="U27" i="7"/>
  <c r="U28" i="7" s="1"/>
  <c r="U31" i="7"/>
  <c r="U29" i="7"/>
  <c r="V17" i="7"/>
  <c r="V6" i="7"/>
  <c r="V5" i="7"/>
  <c r="V12" i="7"/>
  <c r="V9" i="7"/>
  <c r="V21" i="48"/>
  <c r="V22" i="48"/>
  <c r="V21" i="49"/>
  <c r="V29" i="50"/>
  <c r="V30" i="50" s="1"/>
  <c r="V33" i="50"/>
  <c r="V31" i="50"/>
  <c r="W7" i="50"/>
  <c r="W10" i="50"/>
  <c r="W5" i="50"/>
  <c r="W14" i="50"/>
  <c r="W12" i="50"/>
  <c r="W8" i="50"/>
  <c r="W17" i="50"/>
  <c r="Y3" i="50"/>
  <c r="X4" i="50"/>
  <c r="U32" i="50"/>
  <c r="U35" i="49"/>
  <c r="U31" i="49"/>
  <c r="U32" i="49" s="1"/>
  <c r="U33" i="49"/>
  <c r="W4" i="49"/>
  <c r="W20" i="49" s="1"/>
  <c r="X3" i="49"/>
  <c r="T34" i="49"/>
  <c r="V5" i="49"/>
  <c r="V19" i="49"/>
  <c r="V6" i="49"/>
  <c r="V7" i="49"/>
  <c r="V8" i="49"/>
  <c r="V14" i="49"/>
  <c r="V10" i="49"/>
  <c r="V12" i="49"/>
  <c r="U32" i="48"/>
  <c r="U28" i="48"/>
  <c r="U29" i="48" s="1"/>
  <c r="U30" i="48"/>
  <c r="W4" i="48"/>
  <c r="X3" i="48"/>
  <c r="V15" i="48"/>
  <c r="V10" i="48"/>
  <c r="V20" i="48"/>
  <c r="V19" i="48"/>
  <c r="V8" i="48"/>
  <c r="V17" i="48"/>
  <c r="V13" i="48"/>
  <c r="V11" i="48"/>
  <c r="V9" i="48"/>
  <c r="V5" i="48"/>
  <c r="T31" i="48"/>
  <c r="S12" i="47"/>
  <c r="S11" i="47"/>
  <c r="Q30" i="47"/>
  <c r="R33" i="47"/>
  <c r="R29" i="47"/>
  <c r="R30" i="47" s="1"/>
  <c r="R31" i="47"/>
  <c r="S9" i="47"/>
  <c r="S10" i="47"/>
  <c r="S18" i="47"/>
  <c r="S14" i="47"/>
  <c r="S8" i="47"/>
  <c r="U3" i="47"/>
  <c r="T4" i="47"/>
  <c r="T26" i="47" s="1"/>
  <c r="AA26" i="54" l="1"/>
  <c r="AA20" i="54"/>
  <c r="AA23" i="54"/>
  <c r="X23" i="53"/>
  <c r="X15" i="53"/>
  <c r="AA7" i="55"/>
  <c r="AA25" i="55"/>
  <c r="AA6" i="55"/>
  <c r="AA5" i="55"/>
  <c r="AA9" i="55"/>
  <c r="AA22" i="55"/>
  <c r="AA10" i="55"/>
  <c r="AA17" i="55"/>
  <c r="AA23" i="55"/>
  <c r="Z27" i="55"/>
  <c r="Z28" i="55" s="1"/>
  <c r="Z31" i="55"/>
  <c r="Z29" i="55"/>
  <c r="AC3" i="55"/>
  <c r="AB4" i="55"/>
  <c r="Y30" i="55"/>
  <c r="W24" i="7"/>
  <c r="W25" i="7"/>
  <c r="Z30" i="54"/>
  <c r="Z31" i="54" s="1"/>
  <c r="AA24" i="54"/>
  <c r="AA25" i="54"/>
  <c r="X7" i="53"/>
  <c r="X24" i="53"/>
  <c r="X22" i="53"/>
  <c r="W22" i="7"/>
  <c r="W23" i="7"/>
  <c r="W7" i="7"/>
  <c r="Y23" i="52"/>
  <c r="Y22" i="52"/>
  <c r="AA18" i="54"/>
  <c r="Y33" i="54"/>
  <c r="AA17" i="54"/>
  <c r="AA9" i="54"/>
  <c r="AA12" i="54"/>
  <c r="AA6" i="54"/>
  <c r="AA5" i="54"/>
  <c r="AA7" i="54"/>
  <c r="AC3" i="54"/>
  <c r="AB4" i="54"/>
  <c r="Z34" i="54"/>
  <c r="Z32" i="54"/>
  <c r="Y7" i="52"/>
  <c r="X16" i="53"/>
  <c r="X5" i="53"/>
  <c r="W10" i="7"/>
  <c r="Y12" i="52"/>
  <c r="AU15" i="50"/>
  <c r="AT15" i="50"/>
  <c r="AS15" i="50"/>
  <c r="X9" i="53"/>
  <c r="X12" i="53"/>
  <c r="X6" i="53"/>
  <c r="V32" i="53"/>
  <c r="W29" i="53"/>
  <c r="W30" i="53" s="1"/>
  <c r="W33" i="53"/>
  <c r="W31" i="53"/>
  <c r="Z3" i="53"/>
  <c r="Y4" i="53"/>
  <c r="X32" i="52"/>
  <c r="X30" i="52"/>
  <c r="X28" i="52"/>
  <c r="X29" i="52" s="1"/>
  <c r="Y6" i="52"/>
  <c r="Z5" i="52"/>
  <c r="Y10" i="52"/>
  <c r="Y9" i="52"/>
  <c r="W31" i="52"/>
  <c r="AA3" i="52"/>
  <c r="Z4" i="52"/>
  <c r="U30" i="7"/>
  <c r="X4" i="7"/>
  <c r="Y3" i="7"/>
  <c r="V27" i="7"/>
  <c r="V28" i="7" s="1"/>
  <c r="V31" i="7"/>
  <c r="V29" i="7"/>
  <c r="W17" i="7"/>
  <c r="W6" i="7"/>
  <c r="W5" i="7"/>
  <c r="W12" i="7"/>
  <c r="W9" i="7"/>
  <c r="W21" i="48"/>
  <c r="W22" i="48"/>
  <c r="V31" i="49"/>
  <c r="V32" i="49" s="1"/>
  <c r="W29" i="50"/>
  <c r="W30" i="50" s="1"/>
  <c r="W33" i="50"/>
  <c r="W31" i="50"/>
  <c r="X17" i="50"/>
  <c r="X14" i="50"/>
  <c r="X12" i="50"/>
  <c r="X10" i="50"/>
  <c r="X6" i="50"/>
  <c r="X5" i="50"/>
  <c r="X8" i="50"/>
  <c r="X7" i="50"/>
  <c r="Z3" i="50"/>
  <c r="Y4" i="50"/>
  <c r="V32" i="50"/>
  <c r="V35" i="49"/>
  <c r="V33" i="49"/>
  <c r="Y3" i="49"/>
  <c r="X4" i="49"/>
  <c r="X20" i="49" s="1"/>
  <c r="W19" i="49"/>
  <c r="W6" i="49"/>
  <c r="W5" i="49"/>
  <c r="W8" i="49"/>
  <c r="W14" i="49"/>
  <c r="W7" i="49"/>
  <c r="W10" i="49"/>
  <c r="U34" i="49"/>
  <c r="V32" i="48"/>
  <c r="V30" i="48"/>
  <c r="V28" i="48"/>
  <c r="V29" i="48" s="1"/>
  <c r="X4" i="48"/>
  <c r="Y3" i="48"/>
  <c r="W15" i="48"/>
  <c r="W8" i="48"/>
  <c r="W20" i="48"/>
  <c r="W17" i="48"/>
  <c r="W13" i="48"/>
  <c r="W9" i="48"/>
  <c r="W5" i="48"/>
  <c r="W10" i="48"/>
  <c r="U31" i="48"/>
  <c r="T12" i="47"/>
  <c r="T21" i="47"/>
  <c r="T11" i="47"/>
  <c r="S29" i="47"/>
  <c r="S30" i="47" s="1"/>
  <c r="S33" i="47"/>
  <c r="S31" i="47"/>
  <c r="T5" i="47"/>
  <c r="T18" i="47"/>
  <c r="T14" i="47"/>
  <c r="T8" i="47"/>
  <c r="T10" i="47"/>
  <c r="T9" i="47"/>
  <c r="V3" i="47"/>
  <c r="U4" i="47"/>
  <c r="U26" i="47" s="1"/>
  <c r="R32" i="47"/>
  <c r="V19" i="1"/>
  <c r="D30" i="1"/>
  <c r="D49" i="1"/>
  <c r="D48" i="1"/>
  <c r="D47" i="1"/>
  <c r="D44" i="1"/>
  <c r="D73" i="1"/>
  <c r="D18" i="1"/>
  <c r="AB23" i="54" l="1"/>
  <c r="AB20" i="54"/>
  <c r="AB26" i="54"/>
  <c r="Y23" i="53"/>
  <c r="Y15" i="53"/>
  <c r="AB25" i="55"/>
  <c r="AB6" i="55"/>
  <c r="AB5" i="55"/>
  <c r="AB22" i="55"/>
  <c r="AB17" i="55"/>
  <c r="AB9" i="55"/>
  <c r="AB23" i="55"/>
  <c r="AB7" i="55"/>
  <c r="AA27" i="55"/>
  <c r="AA28" i="55" s="1"/>
  <c r="AA31" i="55"/>
  <c r="AA29" i="55"/>
  <c r="AD3" i="55"/>
  <c r="AC4" i="55"/>
  <c r="Z30" i="55"/>
  <c r="X24" i="7"/>
  <c r="X25" i="7"/>
  <c r="AB24" i="54"/>
  <c r="AB25" i="54"/>
  <c r="AA30" i="54"/>
  <c r="AA31" i="54" s="1"/>
  <c r="Y7" i="53"/>
  <c r="Y24" i="53"/>
  <c r="Y22" i="53"/>
  <c r="X23" i="7"/>
  <c r="X22" i="7"/>
  <c r="X7" i="7"/>
  <c r="Z23" i="52"/>
  <c r="Z22" i="52"/>
  <c r="AV15" i="50"/>
  <c r="AB18" i="54"/>
  <c r="AB17" i="54"/>
  <c r="AB10" i="54"/>
  <c r="AB9" i="54"/>
  <c r="AB7" i="54"/>
  <c r="AB12" i="54"/>
  <c r="AB6" i="54"/>
  <c r="AB5" i="54"/>
  <c r="AA34" i="54"/>
  <c r="AA32" i="54"/>
  <c r="AC4" i="54"/>
  <c r="AD3" i="54"/>
  <c r="Z33" i="54"/>
  <c r="Z7" i="52"/>
  <c r="Y16" i="53"/>
  <c r="Y5" i="53"/>
  <c r="X10" i="7"/>
  <c r="Z12" i="52"/>
  <c r="Y9" i="53"/>
  <c r="Y12" i="53"/>
  <c r="Y6" i="53"/>
  <c r="Z4" i="53"/>
  <c r="AA3" i="53"/>
  <c r="X33" i="53"/>
  <c r="X31" i="53"/>
  <c r="X29" i="53"/>
  <c r="X30" i="53" s="1"/>
  <c r="W32" i="53"/>
  <c r="Y32" i="52"/>
  <c r="Y30" i="52"/>
  <c r="Y28" i="52"/>
  <c r="Y29" i="52" s="1"/>
  <c r="AA5" i="52"/>
  <c r="Z10" i="52"/>
  <c r="Z9" i="52"/>
  <c r="Z6" i="52"/>
  <c r="X31" i="52"/>
  <c r="AA4" i="52"/>
  <c r="AB3" i="52"/>
  <c r="Z3" i="7"/>
  <c r="Y4" i="7"/>
  <c r="X17" i="7"/>
  <c r="X6" i="7"/>
  <c r="X5" i="7"/>
  <c r="X12" i="7"/>
  <c r="X9" i="7"/>
  <c r="W27" i="7"/>
  <c r="W28" i="7" s="1"/>
  <c r="W31" i="7"/>
  <c r="W29" i="7"/>
  <c r="V30" i="7"/>
  <c r="X21" i="48"/>
  <c r="X22" i="48"/>
  <c r="Y17" i="50"/>
  <c r="Y14" i="50"/>
  <c r="Y12" i="50"/>
  <c r="Y6" i="50"/>
  <c r="Y5" i="50"/>
  <c r="Y10" i="50"/>
  <c r="Y8" i="50"/>
  <c r="Y7" i="50"/>
  <c r="Z4" i="50"/>
  <c r="Z19" i="50" s="1"/>
  <c r="AA3" i="50"/>
  <c r="X33" i="50"/>
  <c r="X31" i="50"/>
  <c r="X29" i="50"/>
  <c r="X30" i="50" s="1"/>
  <c r="W32" i="50"/>
  <c r="X14" i="49"/>
  <c r="X8" i="49"/>
  <c r="X5" i="49"/>
  <c r="X6" i="49"/>
  <c r="X19" i="49"/>
  <c r="X7" i="49"/>
  <c r="Z3" i="49"/>
  <c r="Y4" i="49"/>
  <c r="Y20" i="49" s="1"/>
  <c r="W35" i="49"/>
  <c r="W33" i="49"/>
  <c r="W31" i="49"/>
  <c r="W32" i="49" s="1"/>
  <c r="V34" i="49"/>
  <c r="Y4" i="48"/>
  <c r="Z3" i="48"/>
  <c r="W28" i="48"/>
  <c r="W29" i="48" s="1"/>
  <c r="W32" i="48"/>
  <c r="W30" i="48"/>
  <c r="X20" i="48"/>
  <c r="X8" i="48"/>
  <c r="X17" i="48"/>
  <c r="X13" i="48"/>
  <c r="X11" i="48"/>
  <c r="X9" i="48"/>
  <c r="X5" i="48"/>
  <c r="X15" i="48"/>
  <c r="X10" i="48"/>
  <c r="V31" i="48"/>
  <c r="U12" i="47"/>
  <c r="U21" i="47"/>
  <c r="U11" i="47"/>
  <c r="S32" i="47"/>
  <c r="W3" i="47"/>
  <c r="V4" i="47"/>
  <c r="V26" i="47" s="1"/>
  <c r="T29" i="47"/>
  <c r="T30" i="47" s="1"/>
  <c r="T33" i="47"/>
  <c r="T31" i="47"/>
  <c r="U5" i="47"/>
  <c r="U18" i="47"/>
  <c r="U14" i="47"/>
  <c r="U10" i="47"/>
  <c r="U8" i="47"/>
  <c r="U16" i="47"/>
  <c r="U9" i="47"/>
  <c r="D109" i="1"/>
  <c r="D108" i="1"/>
  <c r="D105" i="1"/>
  <c r="D35" i="1"/>
  <c r="D107" i="1"/>
  <c r="D106" i="1"/>
  <c r="D3" i="1"/>
  <c r="L3" i="1"/>
  <c r="M3" i="1"/>
  <c r="N3" i="1"/>
  <c r="O3" i="1"/>
  <c r="P3" i="1"/>
  <c r="Q3" i="1"/>
  <c r="R3" i="1"/>
  <c r="S3" i="1"/>
  <c r="T3" i="1"/>
  <c r="U3" i="1"/>
  <c r="V3" i="1"/>
  <c r="W3" i="1"/>
  <c r="D104" i="1"/>
  <c r="D103" i="1"/>
  <c r="D102" i="1"/>
  <c r="D101" i="1"/>
  <c r="D100" i="1"/>
  <c r="D25" i="1"/>
  <c r="L4" i="1"/>
  <c r="M4" i="1"/>
  <c r="N4" i="1"/>
  <c r="O4" i="1"/>
  <c r="P4" i="1"/>
  <c r="Q4" i="1"/>
  <c r="R4" i="1"/>
  <c r="S4" i="1"/>
  <c r="T4" i="1"/>
  <c r="U4" i="1"/>
  <c r="V4" i="1"/>
  <c r="W4" i="1"/>
  <c r="L5" i="1"/>
  <c r="M5" i="1"/>
  <c r="N5" i="1"/>
  <c r="O5" i="1"/>
  <c r="P5" i="1"/>
  <c r="Q5" i="1"/>
  <c r="R5" i="1"/>
  <c r="S5" i="1"/>
  <c r="T5" i="1"/>
  <c r="U5" i="1"/>
  <c r="V5" i="1"/>
  <c r="W5" i="1"/>
  <c r="L6" i="1"/>
  <c r="M6" i="1"/>
  <c r="N6" i="1"/>
  <c r="O6" i="1"/>
  <c r="P6" i="1"/>
  <c r="Q6" i="1"/>
  <c r="R6" i="1"/>
  <c r="S6" i="1"/>
  <c r="T6" i="1"/>
  <c r="U6" i="1"/>
  <c r="V6" i="1"/>
  <c r="W6" i="1"/>
  <c r="L8" i="1"/>
  <c r="M8" i="1"/>
  <c r="N8" i="1"/>
  <c r="O8" i="1"/>
  <c r="P8" i="1"/>
  <c r="Q8" i="1"/>
  <c r="R8" i="1"/>
  <c r="S8" i="1"/>
  <c r="T8" i="1"/>
  <c r="U8" i="1"/>
  <c r="V8" i="1"/>
  <c r="W8" i="1"/>
  <c r="L9" i="1"/>
  <c r="M9" i="1"/>
  <c r="N9" i="1"/>
  <c r="O9" i="1"/>
  <c r="P9" i="1"/>
  <c r="Q9" i="1"/>
  <c r="R9" i="1"/>
  <c r="S9" i="1"/>
  <c r="T9" i="1"/>
  <c r="U9" i="1"/>
  <c r="V9" i="1"/>
  <c r="W9" i="1"/>
  <c r="L10" i="1"/>
  <c r="M10" i="1"/>
  <c r="N10" i="1"/>
  <c r="O10" i="1"/>
  <c r="P10" i="1"/>
  <c r="Q10" i="1"/>
  <c r="R10" i="1"/>
  <c r="S10" i="1"/>
  <c r="T10" i="1"/>
  <c r="U10" i="1"/>
  <c r="V10" i="1"/>
  <c r="W10" i="1"/>
  <c r="L11" i="1"/>
  <c r="M11" i="1"/>
  <c r="N11" i="1"/>
  <c r="O11" i="1"/>
  <c r="P11" i="1"/>
  <c r="Q11" i="1"/>
  <c r="R11" i="1"/>
  <c r="S11" i="1"/>
  <c r="T11" i="1"/>
  <c r="U11" i="1"/>
  <c r="V11" i="1"/>
  <c r="W11" i="1"/>
  <c r="L12" i="1"/>
  <c r="M12" i="1"/>
  <c r="N12" i="1"/>
  <c r="O12" i="1"/>
  <c r="P12" i="1"/>
  <c r="Q12" i="1"/>
  <c r="R12" i="1"/>
  <c r="S12" i="1"/>
  <c r="T12" i="1"/>
  <c r="U12" i="1"/>
  <c r="V12" i="1"/>
  <c r="W12" i="1"/>
  <c r="L13" i="1"/>
  <c r="M13" i="1"/>
  <c r="N13" i="1"/>
  <c r="O13" i="1"/>
  <c r="P13" i="1"/>
  <c r="Q13" i="1"/>
  <c r="R13" i="1"/>
  <c r="S13" i="1"/>
  <c r="T13" i="1"/>
  <c r="U13" i="1"/>
  <c r="V13" i="1"/>
  <c r="W13" i="1"/>
  <c r="L14" i="1"/>
  <c r="M14" i="1"/>
  <c r="N14" i="1"/>
  <c r="O14" i="1"/>
  <c r="P14" i="1"/>
  <c r="Q14" i="1"/>
  <c r="R14" i="1"/>
  <c r="S14" i="1"/>
  <c r="T14" i="1"/>
  <c r="U14" i="1"/>
  <c r="V14" i="1"/>
  <c r="W14" i="1"/>
  <c r="L15" i="1"/>
  <c r="M15" i="1"/>
  <c r="N15" i="1"/>
  <c r="O15" i="1"/>
  <c r="P15" i="1"/>
  <c r="Q15" i="1"/>
  <c r="R15" i="1"/>
  <c r="S15" i="1"/>
  <c r="T15" i="1"/>
  <c r="U15" i="1"/>
  <c r="V15" i="1"/>
  <c r="W15" i="1"/>
  <c r="L16" i="1"/>
  <c r="M16" i="1"/>
  <c r="N16" i="1"/>
  <c r="O16" i="1"/>
  <c r="P16" i="1"/>
  <c r="Q16" i="1"/>
  <c r="R16" i="1"/>
  <c r="S16" i="1"/>
  <c r="T16" i="1"/>
  <c r="U16" i="1"/>
  <c r="V16" i="1"/>
  <c r="W16" i="1"/>
  <c r="L17" i="1"/>
  <c r="M17" i="1"/>
  <c r="N17" i="1"/>
  <c r="O17" i="1"/>
  <c r="P17" i="1"/>
  <c r="Q17" i="1"/>
  <c r="R17" i="1"/>
  <c r="S17" i="1"/>
  <c r="T17" i="1"/>
  <c r="U17" i="1"/>
  <c r="V17" i="1"/>
  <c r="W17" i="1"/>
  <c r="L18" i="1"/>
  <c r="M18" i="1"/>
  <c r="N18" i="1"/>
  <c r="O18" i="1"/>
  <c r="P18" i="1"/>
  <c r="Q18" i="1"/>
  <c r="R18" i="1"/>
  <c r="S18" i="1"/>
  <c r="T18" i="1"/>
  <c r="U18" i="1"/>
  <c r="V18" i="1"/>
  <c r="W18" i="1"/>
  <c r="L19" i="1"/>
  <c r="M19" i="1"/>
  <c r="N19" i="1"/>
  <c r="O19" i="1"/>
  <c r="P19" i="1"/>
  <c r="Q19" i="1"/>
  <c r="R19" i="1"/>
  <c r="S19" i="1"/>
  <c r="T19" i="1"/>
  <c r="U19" i="1"/>
  <c r="W19" i="1"/>
  <c r="L20" i="1"/>
  <c r="M20" i="1"/>
  <c r="N20" i="1"/>
  <c r="O20" i="1"/>
  <c r="P20" i="1"/>
  <c r="Q20" i="1"/>
  <c r="R20" i="1"/>
  <c r="S20" i="1"/>
  <c r="T20" i="1"/>
  <c r="U20" i="1"/>
  <c r="V20" i="1"/>
  <c r="W20" i="1"/>
  <c r="L21" i="1"/>
  <c r="M21" i="1"/>
  <c r="N21" i="1"/>
  <c r="O21" i="1"/>
  <c r="P21" i="1"/>
  <c r="Q21" i="1"/>
  <c r="R21" i="1"/>
  <c r="S21" i="1"/>
  <c r="T21" i="1"/>
  <c r="U21" i="1"/>
  <c r="V21" i="1"/>
  <c r="W21" i="1"/>
  <c r="L22" i="1"/>
  <c r="M22" i="1"/>
  <c r="N22" i="1"/>
  <c r="O22" i="1"/>
  <c r="P22" i="1"/>
  <c r="Q22" i="1"/>
  <c r="R22" i="1"/>
  <c r="S22" i="1"/>
  <c r="T22" i="1"/>
  <c r="U22" i="1"/>
  <c r="V22" i="1"/>
  <c r="W22" i="1"/>
  <c r="L23" i="1"/>
  <c r="M23" i="1"/>
  <c r="N23" i="1"/>
  <c r="O23" i="1"/>
  <c r="P23" i="1"/>
  <c r="Q23" i="1"/>
  <c r="R23" i="1"/>
  <c r="S23" i="1"/>
  <c r="T23" i="1"/>
  <c r="U23" i="1"/>
  <c r="V23" i="1"/>
  <c r="W23" i="1"/>
  <c r="L24" i="1"/>
  <c r="M24" i="1"/>
  <c r="N24" i="1"/>
  <c r="O24" i="1"/>
  <c r="P24" i="1"/>
  <c r="Q24" i="1"/>
  <c r="R24" i="1"/>
  <c r="S24" i="1"/>
  <c r="T24" i="1"/>
  <c r="U24" i="1"/>
  <c r="V24" i="1"/>
  <c r="W24" i="1"/>
  <c r="L25" i="1"/>
  <c r="M25" i="1"/>
  <c r="N25" i="1"/>
  <c r="O25" i="1"/>
  <c r="P25" i="1"/>
  <c r="Q25" i="1"/>
  <c r="R25" i="1"/>
  <c r="S25" i="1"/>
  <c r="T25" i="1"/>
  <c r="U25" i="1"/>
  <c r="V25" i="1"/>
  <c r="W25" i="1"/>
  <c r="L26" i="1"/>
  <c r="M26" i="1"/>
  <c r="N26" i="1"/>
  <c r="O26" i="1"/>
  <c r="P26" i="1"/>
  <c r="Q26" i="1"/>
  <c r="R26" i="1"/>
  <c r="S26" i="1"/>
  <c r="T26" i="1"/>
  <c r="U26" i="1"/>
  <c r="V26" i="1"/>
  <c r="W26" i="1"/>
  <c r="L27" i="1"/>
  <c r="M27" i="1"/>
  <c r="N27" i="1"/>
  <c r="O27" i="1"/>
  <c r="P27" i="1"/>
  <c r="Q27" i="1"/>
  <c r="R27" i="1"/>
  <c r="S27" i="1"/>
  <c r="T27" i="1"/>
  <c r="U27" i="1"/>
  <c r="V27" i="1"/>
  <c r="W27" i="1"/>
  <c r="L28" i="1"/>
  <c r="M28" i="1"/>
  <c r="N28" i="1"/>
  <c r="O28" i="1"/>
  <c r="P28" i="1"/>
  <c r="Q28" i="1"/>
  <c r="R28" i="1"/>
  <c r="S28" i="1"/>
  <c r="T28" i="1"/>
  <c r="U28" i="1"/>
  <c r="V28" i="1"/>
  <c r="W28" i="1"/>
  <c r="L29" i="1"/>
  <c r="M29" i="1"/>
  <c r="N29" i="1"/>
  <c r="O29" i="1"/>
  <c r="P29" i="1"/>
  <c r="Q29" i="1"/>
  <c r="R29" i="1"/>
  <c r="S29" i="1"/>
  <c r="T29" i="1"/>
  <c r="U29" i="1"/>
  <c r="V29" i="1"/>
  <c r="W29" i="1"/>
  <c r="L30" i="1"/>
  <c r="M30" i="1"/>
  <c r="N30" i="1"/>
  <c r="O30" i="1"/>
  <c r="P30" i="1"/>
  <c r="Q30" i="1"/>
  <c r="R30" i="1"/>
  <c r="S30" i="1"/>
  <c r="T30" i="1"/>
  <c r="U30" i="1"/>
  <c r="V30" i="1"/>
  <c r="W30" i="1"/>
  <c r="L31" i="1"/>
  <c r="M31" i="1"/>
  <c r="N31" i="1"/>
  <c r="O31" i="1"/>
  <c r="P31" i="1"/>
  <c r="Q31" i="1"/>
  <c r="R31" i="1"/>
  <c r="S31" i="1"/>
  <c r="T31" i="1"/>
  <c r="U31" i="1"/>
  <c r="V31" i="1"/>
  <c r="W31" i="1"/>
  <c r="L32" i="1"/>
  <c r="M32" i="1"/>
  <c r="N32" i="1"/>
  <c r="O32" i="1"/>
  <c r="P32" i="1"/>
  <c r="Q32" i="1"/>
  <c r="R32" i="1"/>
  <c r="S32" i="1"/>
  <c r="T32" i="1"/>
  <c r="U32" i="1"/>
  <c r="V32" i="1"/>
  <c r="W32" i="1"/>
  <c r="L33" i="1"/>
  <c r="M33" i="1"/>
  <c r="N33" i="1"/>
  <c r="O33" i="1"/>
  <c r="P33" i="1"/>
  <c r="Q33" i="1"/>
  <c r="R33" i="1"/>
  <c r="S33" i="1"/>
  <c r="T33" i="1"/>
  <c r="U33" i="1"/>
  <c r="V33" i="1"/>
  <c r="W33" i="1"/>
  <c r="D28" i="1"/>
  <c r="AC26" i="54" l="1"/>
  <c r="AC20" i="54"/>
  <c r="AC23" i="54"/>
  <c r="AB30" i="54"/>
  <c r="AB31" i="54" s="1"/>
  <c r="Z23" i="53"/>
  <c r="Z15" i="53"/>
  <c r="AC22" i="55"/>
  <c r="AC7" i="55"/>
  <c r="AC17" i="55"/>
  <c r="AC9" i="55"/>
  <c r="AC23" i="55"/>
  <c r="AC6" i="55"/>
  <c r="AC5" i="55"/>
  <c r="AC25" i="55"/>
  <c r="AE3" i="55"/>
  <c r="AD4" i="55"/>
  <c r="AB27" i="55"/>
  <c r="AB28" i="55" s="1"/>
  <c r="AB31" i="55"/>
  <c r="AB29" i="55"/>
  <c r="AA30" i="55"/>
  <c r="Y24" i="7"/>
  <c r="Y25" i="7"/>
  <c r="AC25" i="54"/>
  <c r="AC24" i="54"/>
  <c r="Z7" i="53"/>
  <c r="Z24" i="53"/>
  <c r="Z22" i="53"/>
  <c r="Y23" i="7"/>
  <c r="Y22" i="7"/>
  <c r="Y7" i="7"/>
  <c r="AA23" i="52"/>
  <c r="AA22" i="52"/>
  <c r="AC18" i="54"/>
  <c r="AA33" i="54"/>
  <c r="AB32" i="54"/>
  <c r="AB34" i="54"/>
  <c r="AD4" i="54"/>
  <c r="AE3" i="54"/>
  <c r="AC17" i="54"/>
  <c r="AC10" i="54"/>
  <c r="AC9" i="54"/>
  <c r="AC7" i="54"/>
  <c r="AC12" i="54"/>
  <c r="AC6" i="54"/>
  <c r="AC5" i="54"/>
  <c r="AA7" i="52"/>
  <c r="Z16" i="53"/>
  <c r="Z5" i="53"/>
  <c r="Y10" i="7"/>
  <c r="AA12" i="52"/>
  <c r="Z18" i="50"/>
  <c r="AA4" i="53"/>
  <c r="AB3" i="53"/>
  <c r="Z9" i="53"/>
  <c r="Z12" i="53"/>
  <c r="Z6" i="53"/>
  <c r="Y29" i="53"/>
  <c r="Y30" i="53" s="1"/>
  <c r="Y33" i="53"/>
  <c r="Y31" i="53"/>
  <c r="X32" i="53"/>
  <c r="Z30" i="52"/>
  <c r="Z28" i="52"/>
  <c r="Z29" i="52" s="1"/>
  <c r="Z32" i="52"/>
  <c r="AC3" i="52"/>
  <c r="AB4" i="52"/>
  <c r="AA10" i="52"/>
  <c r="AA9" i="52"/>
  <c r="AA6" i="52"/>
  <c r="AB5" i="52"/>
  <c r="Y31" i="52"/>
  <c r="X31" i="7"/>
  <c r="X29" i="7"/>
  <c r="X27" i="7"/>
  <c r="X28" i="7" s="1"/>
  <c r="W30" i="7"/>
  <c r="Y6" i="7"/>
  <c r="Y5" i="7"/>
  <c r="Y12" i="7"/>
  <c r="Y9" i="7"/>
  <c r="Y17" i="7"/>
  <c r="AA3" i="7"/>
  <c r="Z4" i="7"/>
  <c r="Y21" i="48"/>
  <c r="Y22" i="48"/>
  <c r="Y33" i="50"/>
  <c r="Y31" i="50"/>
  <c r="Y29" i="50"/>
  <c r="Y30" i="50" s="1"/>
  <c r="X32" i="50"/>
  <c r="Z8" i="50"/>
  <c r="Z17" i="50"/>
  <c r="Z14" i="50"/>
  <c r="Z12" i="50"/>
  <c r="Z10" i="50"/>
  <c r="Z5" i="50"/>
  <c r="Z7" i="50"/>
  <c r="Z6" i="50"/>
  <c r="AA4" i="50"/>
  <c r="AA19" i="50" s="1"/>
  <c r="AB3" i="50"/>
  <c r="X35" i="49"/>
  <c r="X33" i="49"/>
  <c r="X31" i="49"/>
  <c r="X32" i="49" s="1"/>
  <c r="W34" i="49"/>
  <c r="Y12" i="49"/>
  <c r="Y8" i="49"/>
  <c r="Y14" i="49"/>
  <c r="Y6" i="49"/>
  <c r="Y5" i="49"/>
  <c r="Y7" i="49"/>
  <c r="Y19" i="49"/>
  <c r="Z4" i="49"/>
  <c r="Z20" i="49" s="1"/>
  <c r="AA3" i="49"/>
  <c r="W31" i="48"/>
  <c r="X28" i="48"/>
  <c r="X29" i="48" s="1"/>
  <c r="X32" i="48"/>
  <c r="X30" i="48"/>
  <c r="Z4" i="48"/>
  <c r="AA3" i="48"/>
  <c r="Y20" i="48"/>
  <c r="Y13" i="48"/>
  <c r="Y11" i="48"/>
  <c r="Y9" i="48"/>
  <c r="Y5" i="48"/>
  <c r="Y15" i="48"/>
  <c r="Y8" i="48"/>
  <c r="Y10" i="48"/>
  <c r="V12" i="47"/>
  <c r="V21" i="47"/>
  <c r="V11" i="47"/>
  <c r="U29" i="47"/>
  <c r="U30" i="47" s="1"/>
  <c r="U33" i="47"/>
  <c r="U31" i="47"/>
  <c r="T32" i="47"/>
  <c r="V18" i="47"/>
  <c r="V14" i="47"/>
  <c r="V10" i="47"/>
  <c r="V16" i="47"/>
  <c r="V9" i="47"/>
  <c r="V8" i="47"/>
  <c r="V5" i="47"/>
  <c r="X3" i="47"/>
  <c r="W4" i="47"/>
  <c r="W26" i="47" s="1"/>
  <c r="D99" i="1"/>
  <c r="AD20" i="54" l="1"/>
  <c r="AD26" i="54"/>
  <c r="AD23" i="54"/>
  <c r="AA23" i="53"/>
  <c r="AA15" i="53"/>
  <c r="AE4" i="55"/>
  <c r="AF3" i="55"/>
  <c r="AB30" i="55"/>
  <c r="AC27" i="55"/>
  <c r="AC28" i="55" s="1"/>
  <c r="AC31" i="55"/>
  <c r="AC29" i="55"/>
  <c r="AD22" i="55"/>
  <c r="AD17" i="55"/>
  <c r="AD9" i="55"/>
  <c r="AD5" i="55"/>
  <c r="AD6" i="55"/>
  <c r="AD23" i="55"/>
  <c r="AD7" i="55"/>
  <c r="AD25" i="55"/>
  <c r="Z24" i="7"/>
  <c r="Z25" i="7"/>
  <c r="AD24" i="54"/>
  <c r="AD25" i="54"/>
  <c r="AC30" i="54"/>
  <c r="AC31" i="54" s="1"/>
  <c r="AA7" i="53"/>
  <c r="AA24" i="53"/>
  <c r="AA22" i="53"/>
  <c r="Z22" i="7"/>
  <c r="Z23" i="7"/>
  <c r="Z7" i="7"/>
  <c r="AB22" i="52"/>
  <c r="AD18" i="54"/>
  <c r="AE4" i="54"/>
  <c r="AF3" i="54"/>
  <c r="AD7" i="54"/>
  <c r="AD6" i="54"/>
  <c r="AD5" i="54"/>
  <c r="AD12" i="54"/>
  <c r="AD17" i="54"/>
  <c r="AD10" i="54"/>
  <c r="AD9" i="54"/>
  <c r="AB33" i="54"/>
  <c r="AC32" i="54"/>
  <c r="AC34" i="54"/>
  <c r="AB7" i="52"/>
  <c r="AA16" i="53"/>
  <c r="AA5" i="53"/>
  <c r="Z10" i="7"/>
  <c r="AB12" i="52"/>
  <c r="AA18" i="50"/>
  <c r="Z29" i="53"/>
  <c r="Z30" i="53" s="1"/>
  <c r="Z33" i="53"/>
  <c r="Z31" i="53"/>
  <c r="Y32" i="53"/>
  <c r="AB4" i="53"/>
  <c r="AC3" i="53"/>
  <c r="AA9" i="53"/>
  <c r="AA12" i="53"/>
  <c r="Z31" i="52"/>
  <c r="AB10" i="52"/>
  <c r="AB9" i="52"/>
  <c r="AB6" i="52"/>
  <c r="AA28" i="52"/>
  <c r="AA29" i="52" s="1"/>
  <c r="AA32" i="52"/>
  <c r="AA30" i="52"/>
  <c r="AD3" i="52"/>
  <c r="AC4" i="52"/>
  <c r="Y29" i="7"/>
  <c r="Y31" i="7"/>
  <c r="Y27" i="7"/>
  <c r="Y28" i="7" s="1"/>
  <c r="Z5" i="7"/>
  <c r="Z12" i="7"/>
  <c r="Z9" i="7"/>
  <c r="Z6" i="7"/>
  <c r="Z17" i="7"/>
  <c r="X30" i="7"/>
  <c r="AB3" i="7"/>
  <c r="AA4" i="7"/>
  <c r="Z21" i="48"/>
  <c r="AC3" i="50"/>
  <c r="AB4" i="50"/>
  <c r="AB19" i="50" s="1"/>
  <c r="Z33" i="50"/>
  <c r="Z29" i="50"/>
  <c r="Z30" i="50" s="1"/>
  <c r="Z31" i="50"/>
  <c r="AA7" i="50"/>
  <c r="AA10" i="50"/>
  <c r="AA5" i="50"/>
  <c r="AA8" i="50"/>
  <c r="AA12" i="50"/>
  <c r="AA14" i="50"/>
  <c r="AA17" i="50"/>
  <c r="AA6" i="50"/>
  <c r="Y32" i="50"/>
  <c r="Z12" i="49"/>
  <c r="Z8" i="49"/>
  <c r="Z6" i="49"/>
  <c r="Z5" i="49"/>
  <c r="Z14" i="49"/>
  <c r="Z19" i="49"/>
  <c r="Z7" i="49"/>
  <c r="Y35" i="49"/>
  <c r="Y33" i="49"/>
  <c r="Y31" i="49"/>
  <c r="Y32" i="49" s="1"/>
  <c r="X34" i="49"/>
  <c r="AA4" i="49"/>
  <c r="AA20" i="49" s="1"/>
  <c r="AB3" i="49"/>
  <c r="AA4" i="48"/>
  <c r="AB3" i="48"/>
  <c r="Z10" i="48"/>
  <c r="Z20" i="48"/>
  <c r="Z13" i="48"/>
  <c r="Z5" i="48"/>
  <c r="Z9" i="48"/>
  <c r="Z15" i="48"/>
  <c r="Z8" i="48"/>
  <c r="X31" i="48"/>
  <c r="Y28" i="48"/>
  <c r="Y29" i="48" s="1"/>
  <c r="Y32" i="48"/>
  <c r="Y30" i="48"/>
  <c r="W12" i="47"/>
  <c r="W21" i="47"/>
  <c r="W11" i="47"/>
  <c r="W18" i="47"/>
  <c r="W14" i="47"/>
  <c r="W10" i="47"/>
  <c r="W8" i="47"/>
  <c r="W16" i="47"/>
  <c r="W9" i="47"/>
  <c r="W5" i="47"/>
  <c r="Y3" i="47"/>
  <c r="X4" i="47"/>
  <c r="X26" i="47" s="1"/>
  <c r="V33" i="47"/>
  <c r="V31" i="47"/>
  <c r="V29" i="47"/>
  <c r="V30" i="47" s="1"/>
  <c r="U32" i="47"/>
  <c r="AE20" i="54" l="1"/>
  <c r="AE26" i="54"/>
  <c r="AE23" i="54"/>
  <c r="AD30" i="54"/>
  <c r="AD31" i="54" s="1"/>
  <c r="AB23" i="53"/>
  <c r="AB15" i="53"/>
  <c r="AD27" i="55"/>
  <c r="AD28" i="55" s="1"/>
  <c r="AD31" i="55"/>
  <c r="AD29" i="55"/>
  <c r="AC30" i="55"/>
  <c r="AG3" i="55"/>
  <c r="AF4" i="55"/>
  <c r="AE17" i="55"/>
  <c r="AE9" i="55"/>
  <c r="AE23" i="55"/>
  <c r="AE22" i="55"/>
  <c r="AE7" i="55"/>
  <c r="AE25" i="55"/>
  <c r="AE6" i="55"/>
  <c r="AE5" i="55"/>
  <c r="AA24" i="7"/>
  <c r="AA25" i="7"/>
  <c r="AE25" i="54"/>
  <c r="AE24" i="54"/>
  <c r="AB7" i="53"/>
  <c r="AB24" i="53"/>
  <c r="AB22" i="53"/>
  <c r="AA23" i="7"/>
  <c r="AA22" i="7"/>
  <c r="AA7" i="7"/>
  <c r="AC22" i="52"/>
  <c r="AE18" i="54"/>
  <c r="AD34" i="54"/>
  <c r="AD32" i="54"/>
  <c r="AC33" i="54"/>
  <c r="AF4" i="54"/>
  <c r="AG3" i="54"/>
  <c r="AE17" i="54"/>
  <c r="AE10" i="54"/>
  <c r="AE9" i="54"/>
  <c r="AE6" i="54"/>
  <c r="AE5" i="54"/>
  <c r="AE12" i="54"/>
  <c r="AE7" i="54"/>
  <c r="AC7" i="52"/>
  <c r="AB5" i="53"/>
  <c r="AB16" i="53"/>
  <c r="AA10" i="7"/>
  <c r="AC12" i="52"/>
  <c r="AB18" i="50"/>
  <c r="AC4" i="53"/>
  <c r="AC23" i="53" s="1"/>
  <c r="AD3" i="53"/>
  <c r="AB12" i="53"/>
  <c r="AB9" i="53"/>
  <c r="AA29" i="53"/>
  <c r="AA30" i="53" s="1"/>
  <c r="AA33" i="53"/>
  <c r="AA31" i="53"/>
  <c r="Z32" i="53"/>
  <c r="AC6" i="52"/>
  <c r="AC9" i="52"/>
  <c r="AC5" i="52"/>
  <c r="AD4" i="52"/>
  <c r="AD9" i="52" s="1"/>
  <c r="AE3" i="52"/>
  <c r="AB32" i="52"/>
  <c r="AB30" i="52"/>
  <c r="AB28" i="52"/>
  <c r="AB29" i="52" s="1"/>
  <c r="AA31" i="52"/>
  <c r="Z27" i="7"/>
  <c r="Z28" i="7" s="1"/>
  <c r="Z31" i="7"/>
  <c r="Z29" i="7"/>
  <c r="AA12" i="7"/>
  <c r="AA9" i="7"/>
  <c r="AA5" i="7"/>
  <c r="AA17" i="7"/>
  <c r="AA6" i="7"/>
  <c r="AC3" i="7"/>
  <c r="AB4" i="7"/>
  <c r="Y30" i="7"/>
  <c r="AA21" i="48"/>
  <c r="AA21" i="49"/>
  <c r="AA33" i="50"/>
  <c r="AA29" i="50"/>
  <c r="AA30" i="50" s="1"/>
  <c r="AA31" i="50"/>
  <c r="Z32" i="50"/>
  <c r="AB6" i="50"/>
  <c r="AB12" i="50"/>
  <c r="AB7" i="50"/>
  <c r="AB8" i="50"/>
  <c r="AB14" i="50"/>
  <c r="AB17" i="50"/>
  <c r="AB5" i="50"/>
  <c r="AB10" i="50"/>
  <c r="AD3" i="50"/>
  <c r="AC4" i="50"/>
  <c r="AA6" i="49"/>
  <c r="AA19" i="49"/>
  <c r="AA7" i="49"/>
  <c r="AA8" i="49"/>
  <c r="AA5" i="49"/>
  <c r="AA14" i="49"/>
  <c r="AC3" i="49"/>
  <c r="AB4" i="49"/>
  <c r="AB20" i="49" s="1"/>
  <c r="Z35" i="49"/>
  <c r="Z33" i="49"/>
  <c r="Z31" i="49"/>
  <c r="Z32" i="49" s="1"/>
  <c r="Y34" i="49"/>
  <c r="Y31" i="48"/>
  <c r="Z28" i="48"/>
  <c r="Z29" i="48" s="1"/>
  <c r="Z32" i="48"/>
  <c r="Z30" i="48"/>
  <c r="AC3" i="48"/>
  <c r="AB4" i="48"/>
  <c r="AA9" i="48"/>
  <c r="AA5" i="48"/>
  <c r="AA15" i="48"/>
  <c r="AA10" i="48"/>
  <c r="AA8" i="48"/>
  <c r="AA20" i="48"/>
  <c r="AA13" i="48"/>
  <c r="X12" i="47"/>
  <c r="X21" i="47"/>
  <c r="X11" i="47"/>
  <c r="X10" i="47"/>
  <c r="X8" i="47"/>
  <c r="X16" i="47"/>
  <c r="X9" i="47"/>
  <c r="X5" i="47"/>
  <c r="X18" i="47"/>
  <c r="Y4" i="47"/>
  <c r="Y26" i="47" s="1"/>
  <c r="Z3" i="47"/>
  <c r="W29" i="47"/>
  <c r="W30" i="47" s="1"/>
  <c r="W33" i="47"/>
  <c r="W31" i="47"/>
  <c r="V32" i="47"/>
  <c r="AE30" i="54" l="1"/>
  <c r="AE31" i="54" s="1"/>
  <c r="AF20" i="54"/>
  <c r="AF26" i="54"/>
  <c r="AF23" i="54"/>
  <c r="AF9" i="55"/>
  <c r="AF17" i="55"/>
  <c r="AF23" i="55"/>
  <c r="AF5" i="55"/>
  <c r="AF7" i="55"/>
  <c r="AF25" i="55"/>
  <c r="AF6" i="55"/>
  <c r="AF22" i="55"/>
  <c r="AE27" i="55"/>
  <c r="AE28" i="55" s="1"/>
  <c r="AE31" i="55"/>
  <c r="AE29" i="55"/>
  <c r="AG4" i="55"/>
  <c r="AH3" i="55"/>
  <c r="AD30" i="55"/>
  <c r="AB24" i="7"/>
  <c r="AB25" i="7"/>
  <c r="AF25" i="54"/>
  <c r="AF24" i="54"/>
  <c r="AC24" i="53"/>
  <c r="AC7" i="53"/>
  <c r="AC22" i="53"/>
  <c r="AB23" i="7"/>
  <c r="AB22" i="7"/>
  <c r="AB7" i="7"/>
  <c r="AD23" i="52"/>
  <c r="AD22" i="52"/>
  <c r="AF18" i="54"/>
  <c r="AC15" i="53"/>
  <c r="AE34" i="54"/>
  <c r="AE32" i="54"/>
  <c r="AH3" i="54"/>
  <c r="AG4" i="54"/>
  <c r="AF7" i="54"/>
  <c r="AF12" i="54"/>
  <c r="AF6" i="54"/>
  <c r="AF5" i="54"/>
  <c r="AF9" i="54"/>
  <c r="AF17" i="54"/>
  <c r="AF10" i="54"/>
  <c r="AD33" i="54"/>
  <c r="AD7" i="52"/>
  <c r="AC16" i="53"/>
  <c r="AC5" i="53"/>
  <c r="AB10" i="7"/>
  <c r="AD12" i="52"/>
  <c r="AC18" i="50"/>
  <c r="AB29" i="53"/>
  <c r="AB30" i="53" s="1"/>
  <c r="AB33" i="53"/>
  <c r="AB31" i="53"/>
  <c r="AA32" i="53"/>
  <c r="AD4" i="53"/>
  <c r="AD23" i="53" s="1"/>
  <c r="AE3" i="53"/>
  <c r="AC12" i="53"/>
  <c r="AC6" i="53"/>
  <c r="AC9" i="53"/>
  <c r="AD5" i="52"/>
  <c r="AE4" i="52"/>
  <c r="AF3" i="52"/>
  <c r="AB31" i="52"/>
  <c r="AC28" i="52"/>
  <c r="AC29" i="52" s="1"/>
  <c r="AC32" i="52"/>
  <c r="AC30" i="52"/>
  <c r="AA27" i="7"/>
  <c r="AA28" i="7" s="1"/>
  <c r="AA31" i="7"/>
  <c r="AA29" i="7"/>
  <c r="AB12" i="7"/>
  <c r="AB9" i="7"/>
  <c r="AB17" i="7"/>
  <c r="AB6" i="7"/>
  <c r="AB5" i="7"/>
  <c r="AD3" i="7"/>
  <c r="AC4" i="7"/>
  <c r="Z30" i="7"/>
  <c r="AB21" i="48"/>
  <c r="AB21" i="49"/>
  <c r="AC10" i="50"/>
  <c r="AC7" i="50"/>
  <c r="AC8" i="50"/>
  <c r="AC14" i="50"/>
  <c r="AC12" i="50"/>
  <c r="AC17" i="50"/>
  <c r="AC6" i="50"/>
  <c r="AC5" i="50"/>
  <c r="AD4" i="50"/>
  <c r="AE3" i="50"/>
  <c r="AA32" i="50"/>
  <c r="AB31" i="50"/>
  <c r="AB33" i="50"/>
  <c r="AB29" i="50"/>
  <c r="AB30" i="50" s="1"/>
  <c r="AA31" i="49"/>
  <c r="AA32" i="49" s="1"/>
  <c r="AA35" i="49"/>
  <c r="AA33" i="49"/>
  <c r="AB19" i="49"/>
  <c r="AB6" i="49"/>
  <c r="AB7" i="49"/>
  <c r="AB5" i="49"/>
  <c r="AB8" i="49"/>
  <c r="AB14" i="49"/>
  <c r="Z34" i="49"/>
  <c r="AD3" i="49"/>
  <c r="AC4" i="49"/>
  <c r="AC20" i="49" s="1"/>
  <c r="AB9" i="48"/>
  <c r="AB5" i="48"/>
  <c r="AB15" i="48"/>
  <c r="AB20" i="48"/>
  <c r="AB8" i="48"/>
  <c r="AB13" i="48"/>
  <c r="AD3" i="48"/>
  <c r="AC4" i="48"/>
  <c r="Z31" i="48"/>
  <c r="AA28" i="48"/>
  <c r="AA29" i="48" s="1"/>
  <c r="AA32" i="48"/>
  <c r="AA30" i="48"/>
  <c r="Y12" i="47"/>
  <c r="Y21" i="47"/>
  <c r="Y11" i="47"/>
  <c r="Z4" i="47"/>
  <c r="AA3" i="47"/>
  <c r="Y8" i="47"/>
  <c r="Y16" i="47"/>
  <c r="Y9" i="47"/>
  <c r="Y5" i="47"/>
  <c r="Y18" i="47"/>
  <c r="Y14" i="47"/>
  <c r="Y10" i="47"/>
  <c r="X29" i="47"/>
  <c r="X30" i="47" s="1"/>
  <c r="X33" i="47"/>
  <c r="X31" i="47"/>
  <c r="W32" i="47"/>
  <c r="AF30" i="54" l="1"/>
  <c r="AF31" i="54" s="1"/>
  <c r="AG20" i="54"/>
  <c r="AG26" i="54"/>
  <c r="AG23" i="54"/>
  <c r="AH4" i="55"/>
  <c r="AI3" i="55"/>
  <c r="AG17" i="55"/>
  <c r="AG10" i="55"/>
  <c r="AG9" i="55"/>
  <c r="AG23" i="55"/>
  <c r="AG6" i="55"/>
  <c r="AG7" i="55"/>
  <c r="AG25" i="55"/>
  <c r="AG5" i="55"/>
  <c r="AG22" i="55"/>
  <c r="AE30" i="55"/>
  <c r="AF27" i="55"/>
  <c r="AF28" i="55" s="1"/>
  <c r="AF31" i="55"/>
  <c r="AF29" i="55"/>
  <c r="AC24" i="7"/>
  <c r="AC25" i="7"/>
  <c r="AG25" i="54"/>
  <c r="AG24" i="54"/>
  <c r="AD24" i="53"/>
  <c r="AD7" i="53"/>
  <c r="AD22" i="53"/>
  <c r="AC22" i="7"/>
  <c r="AC23" i="7"/>
  <c r="AC7" i="7"/>
  <c r="AE23" i="52"/>
  <c r="AE22" i="52"/>
  <c r="AG18" i="54"/>
  <c r="AD15" i="53"/>
  <c r="AF34" i="54"/>
  <c r="AF32" i="54"/>
  <c r="AG7" i="54"/>
  <c r="AG12" i="54"/>
  <c r="AG6" i="54"/>
  <c r="AG5" i="54"/>
  <c r="AG10" i="54"/>
  <c r="AG9" i="54"/>
  <c r="AG17" i="54"/>
  <c r="AH4" i="54"/>
  <c r="AI3" i="54"/>
  <c r="AE33" i="54"/>
  <c r="AE7" i="52"/>
  <c r="AD5" i="53"/>
  <c r="AD16" i="53"/>
  <c r="AC10" i="7"/>
  <c r="AE12" i="52"/>
  <c r="AD18" i="50"/>
  <c r="AE4" i="53"/>
  <c r="AE23" i="53" s="1"/>
  <c r="AF3" i="53"/>
  <c r="AD6" i="53"/>
  <c r="AD9" i="53"/>
  <c r="AB32" i="53"/>
  <c r="AC29" i="53"/>
  <c r="AC30" i="53" s="1"/>
  <c r="AC33" i="53"/>
  <c r="AC31" i="53"/>
  <c r="AE9" i="52"/>
  <c r="AE5" i="52"/>
  <c r="AF4" i="52"/>
  <c r="AG3" i="52"/>
  <c r="AC31" i="52"/>
  <c r="AD28" i="52"/>
  <c r="AD29" i="52" s="1"/>
  <c r="AD32" i="52"/>
  <c r="AD30" i="52"/>
  <c r="AC12" i="7"/>
  <c r="AC9" i="7"/>
  <c r="AC17" i="7"/>
  <c r="AC6" i="7"/>
  <c r="AC5" i="7"/>
  <c r="AE3" i="7"/>
  <c r="AD4" i="7"/>
  <c r="AA30" i="7"/>
  <c r="AB27" i="7"/>
  <c r="AB28" i="7" s="1"/>
  <c r="AB31" i="7"/>
  <c r="AB29" i="7"/>
  <c r="AC21" i="48"/>
  <c r="AC21" i="49"/>
  <c r="AD10" i="50"/>
  <c r="AD6" i="50"/>
  <c r="AD8" i="50"/>
  <c r="AD14" i="50"/>
  <c r="AD12" i="50"/>
  <c r="AD7" i="50"/>
  <c r="AD17" i="50"/>
  <c r="AD5" i="50"/>
  <c r="AB32" i="50"/>
  <c r="AC29" i="50"/>
  <c r="AC30" i="50" s="1"/>
  <c r="AC31" i="50"/>
  <c r="AC33" i="50"/>
  <c r="AE4" i="50"/>
  <c r="AF3" i="50"/>
  <c r="AC14" i="49"/>
  <c r="AC5" i="49"/>
  <c r="AC19" i="49"/>
  <c r="AC6" i="49"/>
  <c r="AC7" i="49"/>
  <c r="AC8" i="49"/>
  <c r="AD4" i="49"/>
  <c r="AD20" i="49" s="1"/>
  <c r="AE3" i="49"/>
  <c r="AB31" i="49"/>
  <c r="AB32" i="49" s="1"/>
  <c r="AB33" i="49"/>
  <c r="AB35" i="49"/>
  <c r="AA34" i="49"/>
  <c r="AA31" i="48"/>
  <c r="AB28" i="48"/>
  <c r="AB29" i="48" s="1"/>
  <c r="AB32" i="48"/>
  <c r="AB30" i="48"/>
  <c r="AE3" i="48"/>
  <c r="AD4" i="48"/>
  <c r="AC9" i="48"/>
  <c r="AC5" i="48"/>
  <c r="AC20" i="48"/>
  <c r="AC19" i="48"/>
  <c r="AC8" i="48"/>
  <c r="AC13" i="48"/>
  <c r="AC17" i="48"/>
  <c r="Z12" i="47"/>
  <c r="Z21" i="47"/>
  <c r="Z11" i="47"/>
  <c r="Y29" i="47"/>
  <c r="Y30" i="47" s="1"/>
  <c r="Y33" i="47"/>
  <c r="Y31" i="47"/>
  <c r="X32" i="47"/>
  <c r="AA4" i="47"/>
  <c r="AB3" i="47"/>
  <c r="Z8" i="47"/>
  <c r="Z9" i="47"/>
  <c r="Z16" i="47"/>
  <c r="Z5" i="47"/>
  <c r="Z18" i="47"/>
  <c r="Z14" i="47"/>
  <c r="Z10" i="47"/>
  <c r="Y2" i="1"/>
  <c r="Y3"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9" i="1"/>
  <c r="Z70" i="1"/>
  <c r="Z71" i="1"/>
  <c r="Z72" i="1"/>
  <c r="Z73" i="1"/>
  <c r="Z74" i="1"/>
  <c r="Z75" i="1"/>
  <c r="Z76" i="1"/>
  <c r="Y11" i="1"/>
  <c r="Y12" i="1"/>
  <c r="Y13" i="1"/>
  <c r="Y14" i="1"/>
  <c r="Y15" i="1"/>
  <c r="Y16" i="1"/>
  <c r="Y17" i="1"/>
  <c r="Y18" i="1"/>
  <c r="Y19" i="1"/>
  <c r="Y20" i="1"/>
  <c r="Y21" i="1"/>
  <c r="Y22" i="1"/>
  <c r="Y23" i="1"/>
  <c r="Y24" i="1"/>
  <c r="Y25" i="1"/>
  <c r="Y26" i="1"/>
  <c r="Y27" i="1"/>
  <c r="Y28" i="1"/>
  <c r="Y29" i="1"/>
  <c r="Y30" i="1"/>
  <c r="Y31"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9" i="1"/>
  <c r="Y70" i="1"/>
  <c r="Y71" i="1"/>
  <c r="Y72" i="1"/>
  <c r="Y73" i="1"/>
  <c r="Y74" i="1"/>
  <c r="Y75" i="1"/>
  <c r="Y76" i="1"/>
  <c r="Y4" i="1"/>
  <c r="Y5" i="1"/>
  <c r="Y6" i="1"/>
  <c r="Y7" i="1"/>
  <c r="Y8" i="1"/>
  <c r="Y9" i="1"/>
  <c r="Y10" i="1"/>
  <c r="D13" i="1"/>
  <c r="W57" i="1"/>
  <c r="V57" i="1"/>
  <c r="U57" i="1"/>
  <c r="T57" i="1"/>
  <c r="S57" i="1"/>
  <c r="R57" i="1"/>
  <c r="Q57" i="1"/>
  <c r="P57" i="1"/>
  <c r="O57" i="1"/>
  <c r="N57" i="1"/>
  <c r="M57" i="1"/>
  <c r="L57" i="1"/>
  <c r="D57" i="1"/>
  <c r="D98" i="1"/>
  <c r="AH20" i="54" l="1"/>
  <c r="AH23" i="54"/>
  <c r="AH26" i="54"/>
  <c r="AF30" i="55"/>
  <c r="AI4" i="55"/>
  <c r="AJ3" i="55"/>
  <c r="AG27" i="55"/>
  <c r="AG28" i="55" s="1"/>
  <c r="AG31" i="55"/>
  <c r="AG29" i="55"/>
  <c r="AH23" i="55"/>
  <c r="AH5" i="55"/>
  <c r="AH6" i="55"/>
  <c r="AH7" i="55"/>
  <c r="AH9" i="55"/>
  <c r="AH25" i="55"/>
  <c r="AH17" i="55"/>
  <c r="AH22" i="55"/>
  <c r="AH10" i="55"/>
  <c r="AD24" i="7"/>
  <c r="AD25" i="7"/>
  <c r="AH25" i="54"/>
  <c r="AH24" i="54"/>
  <c r="AG30" i="54"/>
  <c r="AG31" i="54" s="1"/>
  <c r="AE24" i="53"/>
  <c r="AE7" i="53"/>
  <c r="AE22" i="53"/>
  <c r="AD22" i="7"/>
  <c r="AD23" i="7"/>
  <c r="AD7" i="7"/>
  <c r="AF23" i="52"/>
  <c r="AF22" i="52"/>
  <c r="AH18" i="54"/>
  <c r="AE15" i="53"/>
  <c r="AG34" i="54"/>
  <c r="AG32" i="54"/>
  <c r="AF33" i="54"/>
  <c r="AJ3" i="54"/>
  <c r="AI4" i="54"/>
  <c r="AH7" i="54"/>
  <c r="AH6" i="54"/>
  <c r="AH12" i="54"/>
  <c r="AH5" i="54"/>
  <c r="AH17" i="54"/>
  <c r="AH10" i="54"/>
  <c r="AH9" i="54"/>
  <c r="AF7" i="52"/>
  <c r="AE16" i="53"/>
  <c r="AE5" i="53"/>
  <c r="AD10" i="7"/>
  <c r="AF12" i="52"/>
  <c r="AE18" i="50"/>
  <c r="AD29" i="53"/>
  <c r="AD30" i="53" s="1"/>
  <c r="AD33" i="53"/>
  <c r="AD31" i="53"/>
  <c r="AC32" i="53"/>
  <c r="AG3" i="53"/>
  <c r="AF4" i="53"/>
  <c r="AF23" i="53" s="1"/>
  <c r="AE6" i="53"/>
  <c r="AE10" i="53"/>
  <c r="AE9" i="53"/>
  <c r="AF6" i="52"/>
  <c r="AF5" i="52"/>
  <c r="AF9" i="52"/>
  <c r="AE28" i="52"/>
  <c r="AE29" i="52" s="1"/>
  <c r="AE32" i="52"/>
  <c r="AE30" i="52"/>
  <c r="AH3" i="52"/>
  <c r="AG4" i="52"/>
  <c r="AD31" i="52"/>
  <c r="AD9" i="7"/>
  <c r="AD17" i="7"/>
  <c r="AD6" i="7"/>
  <c r="AD5" i="7"/>
  <c r="AD12" i="7"/>
  <c r="AC27" i="7"/>
  <c r="AC28" i="7" s="1"/>
  <c r="AC31" i="7"/>
  <c r="AC29" i="7"/>
  <c r="AE4" i="7"/>
  <c r="AF3" i="7"/>
  <c r="AB30" i="7"/>
  <c r="AD21" i="48"/>
  <c r="AD21" i="49"/>
  <c r="AD29" i="50"/>
  <c r="AD30" i="50" s="1"/>
  <c r="AD33" i="50"/>
  <c r="AD31" i="50"/>
  <c r="AF4" i="50"/>
  <c r="AF17" i="50" s="1"/>
  <c r="AG3" i="50"/>
  <c r="AE17" i="50"/>
  <c r="AE14" i="50"/>
  <c r="AE12" i="50"/>
  <c r="AE10" i="50"/>
  <c r="AE8" i="50"/>
  <c r="AE6" i="50"/>
  <c r="AE5" i="50"/>
  <c r="AE7" i="50"/>
  <c r="AC32" i="50"/>
  <c r="AB34" i="49"/>
  <c r="AE4" i="49"/>
  <c r="AE20" i="49" s="1"/>
  <c r="AF3" i="49"/>
  <c r="AC31" i="49"/>
  <c r="AC32" i="49" s="1"/>
  <c r="AC35" i="49"/>
  <c r="AC33" i="49"/>
  <c r="AD14" i="49"/>
  <c r="AD8" i="49"/>
  <c r="AD5" i="49"/>
  <c r="AD6" i="49"/>
  <c r="AD7" i="49"/>
  <c r="AD19" i="49"/>
  <c r="AC28" i="48"/>
  <c r="AC29" i="48" s="1"/>
  <c r="AC32" i="48"/>
  <c r="AC30" i="48"/>
  <c r="AD13" i="48"/>
  <c r="AD5" i="48"/>
  <c r="AD20" i="48"/>
  <c r="AD19" i="48"/>
  <c r="AD8" i="48"/>
  <c r="AD17" i="48"/>
  <c r="AD9" i="48"/>
  <c r="AF3" i="48"/>
  <c r="AE4" i="48"/>
  <c r="AB31" i="48"/>
  <c r="AA12" i="47"/>
  <c r="AA21" i="47"/>
  <c r="AA11" i="47"/>
  <c r="AB4" i="47"/>
  <c r="AC3" i="47"/>
  <c r="AA16" i="47"/>
  <c r="AA9" i="47"/>
  <c r="AA5" i="47"/>
  <c r="AA18" i="47"/>
  <c r="AA10" i="47"/>
  <c r="AA8" i="47"/>
  <c r="Y32" i="47"/>
  <c r="Z29" i="47"/>
  <c r="Z30" i="47" s="1"/>
  <c r="Z33" i="47"/>
  <c r="Z31" i="47"/>
  <c r="L68" i="1"/>
  <c r="M68" i="1"/>
  <c r="N68" i="1"/>
  <c r="O68" i="1"/>
  <c r="P68" i="1"/>
  <c r="Q68" i="1"/>
  <c r="R68" i="1"/>
  <c r="S68" i="1"/>
  <c r="T68" i="1"/>
  <c r="U68" i="1"/>
  <c r="V68" i="1"/>
  <c r="W68" i="1"/>
  <c r="L64" i="1"/>
  <c r="M64" i="1"/>
  <c r="N64" i="1"/>
  <c r="O64" i="1"/>
  <c r="P64" i="1"/>
  <c r="Q64" i="1"/>
  <c r="R64" i="1"/>
  <c r="S64" i="1"/>
  <c r="T64" i="1"/>
  <c r="U64" i="1"/>
  <c r="V64" i="1"/>
  <c r="W64" i="1"/>
  <c r="D64" i="1"/>
  <c r="D63" i="1"/>
  <c r="L59" i="1"/>
  <c r="M59" i="1"/>
  <c r="N59" i="1"/>
  <c r="O59" i="1"/>
  <c r="P59" i="1"/>
  <c r="Q59" i="1"/>
  <c r="R59" i="1"/>
  <c r="S59" i="1"/>
  <c r="T59" i="1"/>
  <c r="U59" i="1"/>
  <c r="V59" i="1"/>
  <c r="W59" i="1"/>
  <c r="M60" i="1"/>
  <c r="N60" i="1"/>
  <c r="O60" i="1"/>
  <c r="P60" i="1"/>
  <c r="Q60" i="1"/>
  <c r="R60" i="1"/>
  <c r="S60" i="1"/>
  <c r="T60" i="1"/>
  <c r="U60" i="1"/>
  <c r="V60" i="1"/>
  <c r="W60" i="1"/>
  <c r="L61" i="1"/>
  <c r="M61" i="1"/>
  <c r="N61" i="1"/>
  <c r="O61" i="1"/>
  <c r="P61" i="1"/>
  <c r="Q61" i="1"/>
  <c r="R61" i="1"/>
  <c r="S61" i="1"/>
  <c r="T61" i="1"/>
  <c r="U61" i="1"/>
  <c r="V61" i="1"/>
  <c r="W61" i="1"/>
  <c r="L62" i="1"/>
  <c r="M62" i="1"/>
  <c r="N62" i="1"/>
  <c r="O62" i="1"/>
  <c r="P62" i="1"/>
  <c r="Q62" i="1"/>
  <c r="R62" i="1"/>
  <c r="S62" i="1"/>
  <c r="T62" i="1"/>
  <c r="U62" i="1"/>
  <c r="V62" i="1"/>
  <c r="W62" i="1"/>
  <c r="L63" i="1"/>
  <c r="M63" i="1"/>
  <c r="N63" i="1"/>
  <c r="O63" i="1"/>
  <c r="P63" i="1"/>
  <c r="Q63" i="1"/>
  <c r="R63" i="1"/>
  <c r="S63" i="1"/>
  <c r="T63" i="1"/>
  <c r="U63" i="1"/>
  <c r="V63" i="1"/>
  <c r="W63" i="1"/>
  <c r="L65" i="1"/>
  <c r="M65" i="1"/>
  <c r="N65" i="1"/>
  <c r="O65" i="1"/>
  <c r="P65" i="1"/>
  <c r="Q65" i="1"/>
  <c r="R65" i="1"/>
  <c r="S65" i="1"/>
  <c r="T65" i="1"/>
  <c r="U65" i="1"/>
  <c r="V65" i="1"/>
  <c r="W65" i="1"/>
  <c r="L66" i="1"/>
  <c r="M66" i="1"/>
  <c r="N66" i="1"/>
  <c r="O66" i="1"/>
  <c r="P66" i="1"/>
  <c r="Q66" i="1"/>
  <c r="R66" i="1"/>
  <c r="S66" i="1"/>
  <c r="T66" i="1"/>
  <c r="U66" i="1"/>
  <c r="V66" i="1"/>
  <c r="W66" i="1"/>
  <c r="L67" i="1"/>
  <c r="M67" i="1"/>
  <c r="N67" i="1"/>
  <c r="O67" i="1"/>
  <c r="P67" i="1"/>
  <c r="Q67" i="1"/>
  <c r="R67" i="1"/>
  <c r="S67" i="1"/>
  <c r="T67" i="1"/>
  <c r="U67" i="1"/>
  <c r="V67" i="1"/>
  <c r="W67" i="1"/>
  <c r="L69" i="1"/>
  <c r="M69" i="1"/>
  <c r="N69" i="1"/>
  <c r="O69" i="1"/>
  <c r="P69" i="1"/>
  <c r="Q69" i="1"/>
  <c r="R69" i="1"/>
  <c r="S69" i="1"/>
  <c r="T69" i="1"/>
  <c r="U69" i="1"/>
  <c r="V69" i="1"/>
  <c r="W69" i="1"/>
  <c r="M70" i="1"/>
  <c r="N70" i="1"/>
  <c r="O70" i="1"/>
  <c r="P70" i="1"/>
  <c r="Q70" i="1"/>
  <c r="R70" i="1"/>
  <c r="S70" i="1"/>
  <c r="T70" i="1"/>
  <c r="U70" i="1"/>
  <c r="V70" i="1"/>
  <c r="W70" i="1"/>
  <c r="L71" i="1"/>
  <c r="M71" i="1"/>
  <c r="N71" i="1"/>
  <c r="O71" i="1"/>
  <c r="P71" i="1"/>
  <c r="Q71" i="1"/>
  <c r="R71" i="1"/>
  <c r="S71" i="1"/>
  <c r="T71" i="1"/>
  <c r="U71" i="1"/>
  <c r="V71" i="1"/>
  <c r="W71" i="1"/>
  <c r="L72" i="1"/>
  <c r="M72" i="1"/>
  <c r="N72" i="1"/>
  <c r="O72" i="1"/>
  <c r="P72" i="1"/>
  <c r="Q72" i="1"/>
  <c r="R72" i="1"/>
  <c r="S72" i="1"/>
  <c r="T72" i="1"/>
  <c r="U72" i="1"/>
  <c r="V72" i="1"/>
  <c r="W72" i="1"/>
  <c r="L73" i="1"/>
  <c r="M73" i="1"/>
  <c r="N73" i="1"/>
  <c r="O73" i="1"/>
  <c r="P73" i="1"/>
  <c r="Q73" i="1"/>
  <c r="R73" i="1"/>
  <c r="S73" i="1"/>
  <c r="T73" i="1"/>
  <c r="U73" i="1"/>
  <c r="V73" i="1"/>
  <c r="W73" i="1"/>
  <c r="L74" i="1"/>
  <c r="M74" i="1"/>
  <c r="N74" i="1"/>
  <c r="O74" i="1"/>
  <c r="P74" i="1"/>
  <c r="Q74" i="1"/>
  <c r="R74" i="1"/>
  <c r="S74" i="1"/>
  <c r="T74" i="1"/>
  <c r="U74" i="1"/>
  <c r="V74" i="1"/>
  <c r="W74" i="1"/>
  <c r="L75" i="1"/>
  <c r="M75" i="1"/>
  <c r="N75" i="1"/>
  <c r="O75" i="1"/>
  <c r="P75" i="1"/>
  <c r="Q75" i="1"/>
  <c r="R75" i="1"/>
  <c r="S75" i="1"/>
  <c r="T75" i="1"/>
  <c r="U75" i="1"/>
  <c r="V75" i="1"/>
  <c r="W75" i="1"/>
  <c r="L76" i="1"/>
  <c r="M76" i="1"/>
  <c r="N76" i="1"/>
  <c r="O76" i="1"/>
  <c r="P76" i="1"/>
  <c r="Q76" i="1"/>
  <c r="R76" i="1"/>
  <c r="S76" i="1"/>
  <c r="T76" i="1"/>
  <c r="U76" i="1"/>
  <c r="V76" i="1"/>
  <c r="W76" i="1"/>
  <c r="L36" i="1"/>
  <c r="M36" i="1"/>
  <c r="N36" i="1"/>
  <c r="O36" i="1"/>
  <c r="P36" i="1"/>
  <c r="Q36" i="1"/>
  <c r="R36" i="1"/>
  <c r="S36" i="1"/>
  <c r="T36" i="1"/>
  <c r="U36" i="1"/>
  <c r="V36" i="1"/>
  <c r="W36" i="1"/>
  <c r="L37" i="1"/>
  <c r="M37" i="1"/>
  <c r="N37" i="1"/>
  <c r="O37" i="1"/>
  <c r="P37" i="1"/>
  <c r="Q37" i="1"/>
  <c r="R37" i="1"/>
  <c r="S37" i="1"/>
  <c r="T37" i="1"/>
  <c r="U37" i="1"/>
  <c r="V37" i="1"/>
  <c r="W37" i="1"/>
  <c r="L38" i="1"/>
  <c r="M38" i="1"/>
  <c r="N38" i="1"/>
  <c r="O38" i="1"/>
  <c r="P38" i="1"/>
  <c r="Q38" i="1"/>
  <c r="R38" i="1"/>
  <c r="S38" i="1"/>
  <c r="T38" i="1"/>
  <c r="U38" i="1"/>
  <c r="V38" i="1"/>
  <c r="W38" i="1"/>
  <c r="L39" i="1"/>
  <c r="M39" i="1"/>
  <c r="N39" i="1"/>
  <c r="O39" i="1"/>
  <c r="P39" i="1"/>
  <c r="Q39" i="1"/>
  <c r="R39" i="1"/>
  <c r="S39" i="1"/>
  <c r="T39" i="1"/>
  <c r="U39" i="1"/>
  <c r="V39" i="1"/>
  <c r="W39" i="1"/>
  <c r="L40" i="1"/>
  <c r="M40" i="1"/>
  <c r="N40" i="1"/>
  <c r="O40" i="1"/>
  <c r="P40" i="1"/>
  <c r="Q40" i="1"/>
  <c r="R40" i="1"/>
  <c r="S40" i="1"/>
  <c r="T40" i="1"/>
  <c r="U40" i="1"/>
  <c r="V40" i="1"/>
  <c r="W40" i="1"/>
  <c r="L41" i="1"/>
  <c r="M41" i="1"/>
  <c r="N41" i="1"/>
  <c r="O41" i="1"/>
  <c r="P41" i="1"/>
  <c r="Q41" i="1"/>
  <c r="R41" i="1"/>
  <c r="S41" i="1"/>
  <c r="T41" i="1"/>
  <c r="U41" i="1"/>
  <c r="V41" i="1"/>
  <c r="W41" i="1"/>
  <c r="L42" i="1"/>
  <c r="M42" i="1"/>
  <c r="N42" i="1"/>
  <c r="O42" i="1"/>
  <c r="P42" i="1"/>
  <c r="Q42" i="1"/>
  <c r="R42" i="1"/>
  <c r="S42" i="1"/>
  <c r="T42" i="1"/>
  <c r="U42" i="1"/>
  <c r="V42" i="1"/>
  <c r="W42" i="1"/>
  <c r="L43" i="1"/>
  <c r="M43" i="1"/>
  <c r="N43" i="1"/>
  <c r="O43" i="1"/>
  <c r="P43" i="1"/>
  <c r="Q43" i="1"/>
  <c r="R43" i="1"/>
  <c r="S43" i="1"/>
  <c r="T43" i="1"/>
  <c r="U43" i="1"/>
  <c r="V43" i="1"/>
  <c r="W43" i="1"/>
  <c r="L44" i="1"/>
  <c r="M44" i="1"/>
  <c r="N44" i="1"/>
  <c r="O44" i="1"/>
  <c r="P44" i="1"/>
  <c r="Q44" i="1"/>
  <c r="R44" i="1"/>
  <c r="S44" i="1"/>
  <c r="T44" i="1"/>
  <c r="U44" i="1"/>
  <c r="V44" i="1"/>
  <c r="W44" i="1"/>
  <c r="L45" i="1"/>
  <c r="M45" i="1"/>
  <c r="N45" i="1"/>
  <c r="O45" i="1"/>
  <c r="P45" i="1"/>
  <c r="Q45" i="1"/>
  <c r="R45" i="1"/>
  <c r="S45" i="1"/>
  <c r="T45" i="1"/>
  <c r="U45" i="1"/>
  <c r="V45" i="1"/>
  <c r="W45" i="1"/>
  <c r="L46" i="1"/>
  <c r="M46" i="1"/>
  <c r="N46" i="1"/>
  <c r="O46" i="1"/>
  <c r="P46" i="1"/>
  <c r="Q46" i="1"/>
  <c r="R46" i="1"/>
  <c r="S46" i="1"/>
  <c r="T46" i="1"/>
  <c r="U46" i="1"/>
  <c r="V46" i="1"/>
  <c r="W46" i="1"/>
  <c r="L47" i="1"/>
  <c r="M47" i="1"/>
  <c r="N47" i="1"/>
  <c r="O47" i="1"/>
  <c r="P47" i="1"/>
  <c r="Q47" i="1"/>
  <c r="R47" i="1"/>
  <c r="S47" i="1"/>
  <c r="T47" i="1"/>
  <c r="U47" i="1"/>
  <c r="V47" i="1"/>
  <c r="W47" i="1"/>
  <c r="L48" i="1"/>
  <c r="M48" i="1"/>
  <c r="N48" i="1"/>
  <c r="O48" i="1"/>
  <c r="P48" i="1"/>
  <c r="Q48" i="1"/>
  <c r="R48" i="1"/>
  <c r="S48" i="1"/>
  <c r="T48" i="1"/>
  <c r="U48" i="1"/>
  <c r="V48" i="1"/>
  <c r="W48" i="1"/>
  <c r="L49" i="1"/>
  <c r="M49" i="1"/>
  <c r="N49" i="1"/>
  <c r="O49" i="1"/>
  <c r="P49" i="1"/>
  <c r="Q49" i="1"/>
  <c r="R49" i="1"/>
  <c r="S49" i="1"/>
  <c r="T49" i="1"/>
  <c r="U49" i="1"/>
  <c r="V49" i="1"/>
  <c r="W49" i="1"/>
  <c r="L50" i="1"/>
  <c r="M50" i="1"/>
  <c r="N50" i="1"/>
  <c r="O50" i="1"/>
  <c r="P50" i="1"/>
  <c r="Q50" i="1"/>
  <c r="R50" i="1"/>
  <c r="S50" i="1"/>
  <c r="T50" i="1"/>
  <c r="U50" i="1"/>
  <c r="V50" i="1"/>
  <c r="W50" i="1"/>
  <c r="L51" i="1"/>
  <c r="M51" i="1"/>
  <c r="N51" i="1"/>
  <c r="O51" i="1"/>
  <c r="P51" i="1"/>
  <c r="Q51" i="1"/>
  <c r="R51" i="1"/>
  <c r="S51" i="1"/>
  <c r="T51" i="1"/>
  <c r="U51" i="1"/>
  <c r="V51" i="1"/>
  <c r="W51" i="1"/>
  <c r="L52" i="1"/>
  <c r="M52" i="1"/>
  <c r="N52" i="1"/>
  <c r="O52" i="1"/>
  <c r="P52" i="1"/>
  <c r="Q52" i="1"/>
  <c r="R52" i="1"/>
  <c r="S52" i="1"/>
  <c r="T52" i="1"/>
  <c r="U52" i="1"/>
  <c r="V52" i="1"/>
  <c r="W52" i="1"/>
  <c r="L53" i="1"/>
  <c r="M53" i="1"/>
  <c r="N53" i="1"/>
  <c r="O53" i="1"/>
  <c r="P53" i="1"/>
  <c r="Q53" i="1"/>
  <c r="R53" i="1"/>
  <c r="S53" i="1"/>
  <c r="T53" i="1"/>
  <c r="U53" i="1"/>
  <c r="V53" i="1"/>
  <c r="W53" i="1"/>
  <c r="L54" i="1"/>
  <c r="M54" i="1"/>
  <c r="N54" i="1"/>
  <c r="O54" i="1"/>
  <c r="P54" i="1"/>
  <c r="Q54" i="1"/>
  <c r="R54" i="1"/>
  <c r="S54" i="1"/>
  <c r="T54" i="1"/>
  <c r="U54" i="1"/>
  <c r="V54" i="1"/>
  <c r="W54" i="1"/>
  <c r="L55" i="1"/>
  <c r="M55" i="1"/>
  <c r="N55" i="1"/>
  <c r="O55" i="1"/>
  <c r="P55" i="1"/>
  <c r="Q55" i="1"/>
  <c r="R55" i="1"/>
  <c r="S55" i="1"/>
  <c r="T55" i="1"/>
  <c r="U55" i="1"/>
  <c r="V55" i="1"/>
  <c r="W55" i="1"/>
  <c r="L56" i="1"/>
  <c r="M56" i="1"/>
  <c r="N56" i="1"/>
  <c r="O56" i="1"/>
  <c r="P56" i="1"/>
  <c r="Q56" i="1"/>
  <c r="R56" i="1"/>
  <c r="S56" i="1"/>
  <c r="T56" i="1"/>
  <c r="U56" i="1"/>
  <c r="V56" i="1"/>
  <c r="W56" i="1"/>
  <c r="L58" i="1"/>
  <c r="M58" i="1"/>
  <c r="N58" i="1"/>
  <c r="O58" i="1"/>
  <c r="P58" i="1"/>
  <c r="Q58" i="1"/>
  <c r="R58" i="1"/>
  <c r="S58" i="1"/>
  <c r="T58" i="1"/>
  <c r="U58" i="1"/>
  <c r="V58" i="1"/>
  <c r="W58" i="1"/>
  <c r="AI23" i="54" l="1"/>
  <c r="AI20" i="54"/>
  <c r="AI26" i="54"/>
  <c r="AH27" i="55"/>
  <c r="AH28" i="55" s="1"/>
  <c r="AH31" i="55"/>
  <c r="AH29" i="55"/>
  <c r="AG30" i="55"/>
  <c r="AJ4" i="55"/>
  <c r="AK3" i="55"/>
  <c r="AI23" i="55"/>
  <c r="AI7" i="55"/>
  <c r="AI25" i="55"/>
  <c r="AI6" i="55"/>
  <c r="AI5" i="55"/>
  <c r="AI22" i="55"/>
  <c r="AI10" i="55"/>
  <c r="AI9" i="55"/>
  <c r="AI17" i="55"/>
  <c r="AE24" i="7"/>
  <c r="AE25" i="7"/>
  <c r="AH30" i="54"/>
  <c r="AH31" i="54" s="1"/>
  <c r="AI24" i="54"/>
  <c r="AI25" i="54"/>
  <c r="AF24" i="53"/>
  <c r="AF7" i="53"/>
  <c r="AF22" i="53"/>
  <c r="AE23" i="7"/>
  <c r="AE22" i="7"/>
  <c r="AE7" i="7"/>
  <c r="AG23" i="52"/>
  <c r="AG22" i="52"/>
  <c r="AI18" i="54"/>
  <c r="AF15" i="53"/>
  <c r="AH34" i="54"/>
  <c r="AH32" i="54"/>
  <c r="AI7" i="54"/>
  <c r="AI6" i="54"/>
  <c r="AI17" i="54"/>
  <c r="AI12" i="54"/>
  <c r="AI5" i="54"/>
  <c r="AI10" i="54"/>
  <c r="AI9" i="54"/>
  <c r="AK3" i="54"/>
  <c r="AJ4" i="54"/>
  <c r="AG33" i="54"/>
  <c r="AG7" i="52"/>
  <c r="AF5" i="53"/>
  <c r="AF16" i="53"/>
  <c r="AE10" i="7"/>
  <c r="AG12" i="52"/>
  <c r="AF18" i="50"/>
  <c r="AE29" i="53"/>
  <c r="AE30" i="53" s="1"/>
  <c r="AE33" i="53"/>
  <c r="AE31" i="53"/>
  <c r="AF6" i="53"/>
  <c r="AF10" i="53"/>
  <c r="AF9" i="53"/>
  <c r="AF12" i="53"/>
  <c r="AH3" i="53"/>
  <c r="AG4" i="53"/>
  <c r="AG23" i="53" s="1"/>
  <c r="AD32" i="53"/>
  <c r="AF28" i="52"/>
  <c r="AF29" i="52" s="1"/>
  <c r="AF32" i="52"/>
  <c r="AF30" i="52"/>
  <c r="AG6" i="52"/>
  <c r="AG5" i="52"/>
  <c r="AG9" i="52"/>
  <c r="AH4" i="52"/>
  <c r="AH23" i="52" s="1"/>
  <c r="AI3" i="52"/>
  <c r="AE31" i="52"/>
  <c r="AD27" i="7"/>
  <c r="AD28" i="7" s="1"/>
  <c r="AD31" i="7"/>
  <c r="AD29" i="7"/>
  <c r="AF4" i="7"/>
  <c r="AG3" i="7"/>
  <c r="AE9" i="7"/>
  <c r="AE17" i="7"/>
  <c r="AE6" i="7"/>
  <c r="AE5" i="7"/>
  <c r="AE12" i="7"/>
  <c r="AC30" i="7"/>
  <c r="AE21" i="48"/>
  <c r="AE22" i="48"/>
  <c r="AG4" i="50"/>
  <c r="AH3" i="50"/>
  <c r="AF8" i="50"/>
  <c r="AF7" i="50"/>
  <c r="AF14" i="50"/>
  <c r="AF12" i="50"/>
  <c r="AF6" i="50"/>
  <c r="AF5" i="50"/>
  <c r="AF10" i="50"/>
  <c r="AE33" i="50"/>
  <c r="AE31" i="50"/>
  <c r="AE29" i="50"/>
  <c r="AE30" i="50" s="1"/>
  <c r="AD32" i="50"/>
  <c r="AC34" i="49"/>
  <c r="AG3" i="49"/>
  <c r="AF4" i="49"/>
  <c r="AF20" i="49" s="1"/>
  <c r="AE12" i="49"/>
  <c r="AE14" i="49"/>
  <c r="AE10" i="49"/>
  <c r="AE6" i="49"/>
  <c r="AE5" i="49"/>
  <c r="AE7" i="49"/>
  <c r="AE8" i="49"/>
  <c r="AE19" i="49"/>
  <c r="AD31" i="49"/>
  <c r="AD32" i="49" s="1"/>
  <c r="AD35" i="49"/>
  <c r="AD33" i="49"/>
  <c r="AE10" i="48"/>
  <c r="AE20" i="48"/>
  <c r="AE19" i="48"/>
  <c r="AE8" i="48"/>
  <c r="AE13" i="48"/>
  <c r="AE17" i="48"/>
  <c r="AE5" i="48"/>
  <c r="AE9" i="48"/>
  <c r="AG3" i="48"/>
  <c r="AF4" i="48"/>
  <c r="AD28" i="48"/>
  <c r="AD29" i="48" s="1"/>
  <c r="AD32" i="48"/>
  <c r="AD30" i="48"/>
  <c r="AC31" i="48"/>
  <c r="AB12" i="47"/>
  <c r="AB21" i="47"/>
  <c r="AA29" i="47"/>
  <c r="AA30" i="47" s="1"/>
  <c r="AA33" i="47"/>
  <c r="AA31" i="47"/>
  <c r="Z32" i="47"/>
  <c r="AC4" i="47"/>
  <c r="AD3" i="47"/>
  <c r="AB16" i="47"/>
  <c r="AB9" i="47"/>
  <c r="AB5" i="47"/>
  <c r="AB18" i="47"/>
  <c r="AB10" i="47"/>
  <c r="AB8" i="47"/>
  <c r="D97" i="1"/>
  <c r="D96" i="1"/>
  <c r="AI30" i="54" l="1"/>
  <c r="AI31" i="54" s="1"/>
  <c r="AJ23" i="54"/>
  <c r="AJ26" i="54"/>
  <c r="AJ20" i="54"/>
  <c r="AL3" i="55"/>
  <c r="AK4" i="55"/>
  <c r="AJ7" i="55"/>
  <c r="AJ25" i="55"/>
  <c r="AJ6" i="55"/>
  <c r="AJ5" i="55"/>
  <c r="AJ22" i="55"/>
  <c r="AJ23" i="55"/>
  <c r="AJ17" i="55"/>
  <c r="AJ10" i="55"/>
  <c r="AJ9" i="55"/>
  <c r="AH30" i="55"/>
  <c r="AI27" i="55"/>
  <c r="AI28" i="55" s="1"/>
  <c r="AI31" i="55"/>
  <c r="AI29" i="55"/>
  <c r="AF24" i="7"/>
  <c r="AF25" i="7"/>
  <c r="AJ25" i="54"/>
  <c r="AJ24" i="54"/>
  <c r="AG24" i="53"/>
  <c r="AG7" i="53"/>
  <c r="AG22" i="53"/>
  <c r="AF23" i="7"/>
  <c r="AF22" i="7"/>
  <c r="AF7" i="7"/>
  <c r="AJ18" i="54"/>
  <c r="AG15" i="53"/>
  <c r="AJ12" i="54"/>
  <c r="AJ6" i="54"/>
  <c r="AJ5" i="54"/>
  <c r="AJ10" i="54"/>
  <c r="AJ9" i="54"/>
  <c r="AJ17" i="54"/>
  <c r="AJ7" i="54"/>
  <c r="AH33" i="54"/>
  <c r="AI34" i="54"/>
  <c r="AI32" i="54"/>
  <c r="AL3" i="54"/>
  <c r="AK4" i="54"/>
  <c r="AH7" i="52"/>
  <c r="AG16" i="53"/>
  <c r="AG5" i="53"/>
  <c r="AF10" i="7"/>
  <c r="AH12" i="52"/>
  <c r="AG18" i="50"/>
  <c r="AF29" i="53"/>
  <c r="AF30" i="53" s="1"/>
  <c r="AF33" i="53"/>
  <c r="AF31" i="53"/>
  <c r="AG6" i="53"/>
  <c r="AG10" i="53"/>
  <c r="AR10" i="53" s="1"/>
  <c r="AG9" i="53"/>
  <c r="AG12" i="53"/>
  <c r="AI3" i="53"/>
  <c r="AH4" i="53"/>
  <c r="AH23" i="53" s="1"/>
  <c r="AE32" i="53"/>
  <c r="AG28" i="52"/>
  <c r="AG29" i="52" s="1"/>
  <c r="AG32" i="52"/>
  <c r="AG30" i="52"/>
  <c r="AI4" i="52"/>
  <c r="AJ3" i="52"/>
  <c r="AF31" i="52"/>
  <c r="AH6" i="52"/>
  <c r="AH5" i="52"/>
  <c r="AH9" i="52"/>
  <c r="AG4" i="7"/>
  <c r="AH3" i="7"/>
  <c r="AF17" i="7"/>
  <c r="AF6" i="7"/>
  <c r="AF5" i="7"/>
  <c r="AF9" i="7"/>
  <c r="AF12" i="7"/>
  <c r="AE27" i="7"/>
  <c r="AE28" i="7" s="1"/>
  <c r="AE31" i="7"/>
  <c r="AE29" i="7"/>
  <c r="AD30" i="7"/>
  <c r="AF21" i="48"/>
  <c r="AF22" i="48"/>
  <c r="AF31" i="50"/>
  <c r="AF33" i="50"/>
  <c r="AF29" i="50"/>
  <c r="AF30" i="50" s="1"/>
  <c r="AE32" i="50"/>
  <c r="AH4" i="50"/>
  <c r="AI3" i="50"/>
  <c r="AG7" i="50"/>
  <c r="AG8" i="50"/>
  <c r="AG14" i="50"/>
  <c r="AG5" i="50"/>
  <c r="AG6" i="50"/>
  <c r="AG10" i="50"/>
  <c r="AE31" i="49"/>
  <c r="AE32" i="49" s="1"/>
  <c r="AE35" i="49"/>
  <c r="AE33" i="49"/>
  <c r="AF7" i="49"/>
  <c r="AF12" i="49"/>
  <c r="AF8" i="49"/>
  <c r="AF5" i="49"/>
  <c r="AF19" i="49"/>
  <c r="AF14" i="49"/>
  <c r="AF10" i="49"/>
  <c r="AF6" i="49"/>
  <c r="AD34" i="49"/>
  <c r="AH3" i="49"/>
  <c r="AG4" i="49"/>
  <c r="AG20" i="49" s="1"/>
  <c r="AD31" i="48"/>
  <c r="AF10" i="48"/>
  <c r="AF8" i="48"/>
  <c r="AF20" i="48"/>
  <c r="AF19" i="48"/>
  <c r="AF17" i="48"/>
  <c r="AF13" i="48"/>
  <c r="AF9" i="48"/>
  <c r="AF5" i="48"/>
  <c r="AH3" i="48"/>
  <c r="AG4" i="48"/>
  <c r="AE28" i="48"/>
  <c r="AE29" i="48" s="1"/>
  <c r="AE32" i="48"/>
  <c r="AE30" i="48"/>
  <c r="AC12" i="47"/>
  <c r="AC21" i="47"/>
  <c r="AA32" i="47"/>
  <c r="AB29" i="47"/>
  <c r="AB30" i="47" s="1"/>
  <c r="AB33" i="47"/>
  <c r="AB31" i="47"/>
  <c r="AD4" i="47"/>
  <c r="AE3" i="47"/>
  <c r="AC16" i="47"/>
  <c r="AC9" i="47"/>
  <c r="AC5" i="47"/>
  <c r="AC18" i="47"/>
  <c r="AC10" i="47"/>
  <c r="AC8" i="47"/>
  <c r="D95" i="1"/>
  <c r="D94" i="1"/>
  <c r="D23" i="1"/>
  <c r="AK26" i="54" l="1"/>
  <c r="AK23" i="54"/>
  <c r="AK20" i="54"/>
  <c r="AS10" i="53"/>
  <c r="AT10" i="53"/>
  <c r="AU10" i="53"/>
  <c r="AV10" i="53" s="1"/>
  <c r="AJ31" i="55"/>
  <c r="AJ29" i="55"/>
  <c r="AJ27" i="55"/>
  <c r="AJ28" i="55" s="1"/>
  <c r="AI30" i="55"/>
  <c r="AK7" i="55"/>
  <c r="AK25" i="55"/>
  <c r="AK6" i="55"/>
  <c r="AK5" i="55"/>
  <c r="AK22" i="55"/>
  <c r="AK17" i="55"/>
  <c r="AK10" i="55"/>
  <c r="AK9" i="55"/>
  <c r="AK23" i="55"/>
  <c r="AM3" i="55"/>
  <c r="AL4" i="55"/>
  <c r="AG24" i="7"/>
  <c r="AG25" i="7"/>
  <c r="AJ30" i="54"/>
  <c r="AJ31" i="54" s="1"/>
  <c r="AK24" i="54"/>
  <c r="AK25" i="54"/>
  <c r="AH24" i="53"/>
  <c r="AH7" i="53"/>
  <c r="AI23" i="52"/>
  <c r="AI5" i="52"/>
  <c r="AH22" i="53"/>
  <c r="AG23" i="7"/>
  <c r="AG22" i="7"/>
  <c r="AG7" i="7"/>
  <c r="AK18" i="54"/>
  <c r="AH15" i="53"/>
  <c r="AI33" i="54"/>
  <c r="AK7" i="54"/>
  <c r="AK17" i="54"/>
  <c r="AK10" i="54"/>
  <c r="AK9" i="54"/>
  <c r="AK12" i="54"/>
  <c r="AK5" i="54"/>
  <c r="AK6" i="54"/>
  <c r="AJ34" i="54"/>
  <c r="AJ32" i="54"/>
  <c r="AM3" i="54"/>
  <c r="AL4" i="54"/>
  <c r="AI7" i="52"/>
  <c r="AH5" i="53"/>
  <c r="AH16" i="53"/>
  <c r="AG10" i="7"/>
  <c r="AI12" i="52"/>
  <c r="AH18" i="50"/>
  <c r="AG29" i="53"/>
  <c r="AG30" i="53" s="1"/>
  <c r="AG33" i="53"/>
  <c r="AG31" i="53"/>
  <c r="AH9" i="53"/>
  <c r="AH12" i="53"/>
  <c r="AH6" i="53"/>
  <c r="AJ3" i="53"/>
  <c r="AI4" i="53"/>
  <c r="AF32" i="53"/>
  <c r="AK3" i="52"/>
  <c r="AJ4" i="52"/>
  <c r="AI15" i="52"/>
  <c r="AI6" i="52"/>
  <c r="AI9" i="52"/>
  <c r="AG31" i="52"/>
  <c r="AH28" i="52"/>
  <c r="AH29" i="52" s="1"/>
  <c r="AH32" i="52"/>
  <c r="AH30" i="52"/>
  <c r="AF27" i="7"/>
  <c r="AF28" i="7" s="1"/>
  <c r="AF31" i="7"/>
  <c r="AF29" i="7"/>
  <c r="AE30" i="7"/>
  <c r="AH4" i="7"/>
  <c r="AI3" i="7"/>
  <c r="AG17" i="7"/>
  <c r="AG6" i="7"/>
  <c r="AG5" i="7"/>
  <c r="AG12" i="7"/>
  <c r="AG9" i="7"/>
  <c r="AG21" i="48"/>
  <c r="AJ3" i="50"/>
  <c r="AI4" i="50"/>
  <c r="AI17" i="50" s="1"/>
  <c r="AH5" i="50"/>
  <c r="AH6" i="50"/>
  <c r="AH8" i="50"/>
  <c r="AH14" i="50"/>
  <c r="AH7" i="50"/>
  <c r="AH10" i="50"/>
  <c r="AG31" i="50"/>
  <c r="AG33" i="50"/>
  <c r="AG29" i="50"/>
  <c r="AG30" i="50" s="1"/>
  <c r="AF32" i="50"/>
  <c r="AI3" i="49"/>
  <c r="AH4" i="49"/>
  <c r="AH20" i="49" s="1"/>
  <c r="AF31" i="49"/>
  <c r="AF32" i="49" s="1"/>
  <c r="AF35" i="49"/>
  <c r="AF33" i="49"/>
  <c r="AE34" i="49"/>
  <c r="AG8" i="49"/>
  <c r="AG7" i="49"/>
  <c r="AG5" i="49"/>
  <c r="AG12" i="49"/>
  <c r="AG14" i="49"/>
  <c r="AG19" i="49"/>
  <c r="AG10" i="49"/>
  <c r="AG6" i="49"/>
  <c r="AE31" i="48"/>
  <c r="AG9" i="48"/>
  <c r="AG10" i="48"/>
  <c r="AG20" i="48"/>
  <c r="AG19" i="48"/>
  <c r="AG8" i="48"/>
  <c r="AG17" i="48"/>
  <c r="AG13" i="48"/>
  <c r="AG5" i="48"/>
  <c r="AH4" i="48"/>
  <c r="AI3" i="48"/>
  <c r="AF32" i="48"/>
  <c r="AF30" i="48"/>
  <c r="AF28" i="48"/>
  <c r="AF29" i="48" s="1"/>
  <c r="AD12" i="47"/>
  <c r="AD21" i="47"/>
  <c r="AD11" i="47"/>
  <c r="AC33" i="47"/>
  <c r="AC31" i="47"/>
  <c r="AC29" i="47"/>
  <c r="AC30" i="47" s="1"/>
  <c r="AF3" i="47"/>
  <c r="AE4" i="47"/>
  <c r="AE26" i="47" s="1"/>
  <c r="AD16" i="47"/>
  <c r="AD9" i="47"/>
  <c r="AD5" i="47"/>
  <c r="AD18" i="47"/>
  <c r="AD10" i="47"/>
  <c r="AD8" i="47"/>
  <c r="AB32" i="47"/>
  <c r="D36" i="1"/>
  <c r="AK30" i="54" l="1"/>
  <c r="AK31" i="54" s="1"/>
  <c r="AL23" i="54"/>
  <c r="AL26" i="54"/>
  <c r="AL20" i="54"/>
  <c r="AI7" i="53"/>
  <c r="AI23" i="53"/>
  <c r="AK29" i="55"/>
  <c r="AK31" i="55"/>
  <c r="AK27" i="55"/>
  <c r="AK28" i="55" s="1"/>
  <c r="AL7" i="55"/>
  <c r="AL25" i="55"/>
  <c r="AL6" i="55"/>
  <c r="AL5" i="55"/>
  <c r="AL22" i="55"/>
  <c r="AL17" i="55"/>
  <c r="AL10" i="55"/>
  <c r="AL9" i="55"/>
  <c r="AL23" i="55"/>
  <c r="AN3" i="55"/>
  <c r="AM4" i="55"/>
  <c r="AJ30" i="55"/>
  <c r="AH24" i="7"/>
  <c r="AH25" i="7"/>
  <c r="AL24" i="54"/>
  <c r="AL25" i="54"/>
  <c r="AI22" i="53"/>
  <c r="AH22" i="7"/>
  <c r="AH23" i="7"/>
  <c r="AH7" i="7"/>
  <c r="AJ23" i="52"/>
  <c r="AJ22" i="52"/>
  <c r="AL18" i="54"/>
  <c r="AI15" i="53"/>
  <c r="AJ33" i="54"/>
  <c r="AK34" i="54"/>
  <c r="AK32" i="54"/>
  <c r="AL12" i="54"/>
  <c r="AL6" i="54"/>
  <c r="AL5" i="54"/>
  <c r="AL17" i="54"/>
  <c r="AL9" i="54"/>
  <c r="AL7" i="54"/>
  <c r="AM4" i="54"/>
  <c r="AN3" i="54"/>
  <c r="AJ7" i="52"/>
  <c r="AI16" i="53"/>
  <c r="AI5" i="53"/>
  <c r="AH10" i="7"/>
  <c r="AJ12" i="52"/>
  <c r="AI18" i="50"/>
  <c r="AH29" i="53"/>
  <c r="AH30" i="53" s="1"/>
  <c r="AH33" i="53"/>
  <c r="AH31" i="53"/>
  <c r="AI12" i="53"/>
  <c r="AI6" i="53"/>
  <c r="AK3" i="53"/>
  <c r="AJ4" i="53"/>
  <c r="AG32" i="53"/>
  <c r="AI28" i="52"/>
  <c r="AI29" i="52" s="1"/>
  <c r="AI32" i="52"/>
  <c r="AI30" i="52"/>
  <c r="AH31" i="52"/>
  <c r="AJ15" i="52"/>
  <c r="AJ6" i="52"/>
  <c r="AJ5" i="52"/>
  <c r="AJ10" i="52"/>
  <c r="AJ9" i="52"/>
  <c r="AK4" i="52"/>
  <c r="AL3" i="52"/>
  <c r="AI4" i="7"/>
  <c r="AJ3" i="7"/>
  <c r="AH17" i="7"/>
  <c r="AH6" i="7"/>
  <c r="AH5" i="7"/>
  <c r="AH12" i="7"/>
  <c r="AH9" i="7"/>
  <c r="AF30" i="7"/>
  <c r="AG27" i="7"/>
  <c r="AG28" i="7" s="1"/>
  <c r="AG31" i="7"/>
  <c r="AG29" i="7"/>
  <c r="AH21" i="48"/>
  <c r="AH21" i="49"/>
  <c r="AG32" i="50"/>
  <c r="AH29" i="50"/>
  <c r="AH30" i="50" s="1"/>
  <c r="AH31" i="50"/>
  <c r="AH33" i="50"/>
  <c r="AI14" i="50"/>
  <c r="AI7" i="50"/>
  <c r="AI10" i="50"/>
  <c r="AI6" i="50"/>
  <c r="AI5" i="50"/>
  <c r="AK3" i="50"/>
  <c r="AJ4" i="50"/>
  <c r="AJ14" i="50" s="1"/>
  <c r="AF34" i="49"/>
  <c r="AG31" i="49"/>
  <c r="AG32" i="49" s="1"/>
  <c r="AG33" i="49"/>
  <c r="AG35" i="49"/>
  <c r="AH5" i="49"/>
  <c r="AH19" i="49"/>
  <c r="AH6" i="49"/>
  <c r="AH7" i="49"/>
  <c r="AH14" i="49"/>
  <c r="AH12" i="49"/>
  <c r="AH10" i="49"/>
  <c r="AH8" i="49"/>
  <c r="AJ3" i="49"/>
  <c r="AI4" i="49"/>
  <c r="AI20" i="49" s="1"/>
  <c r="AF31" i="48"/>
  <c r="AI4" i="48"/>
  <c r="AJ3" i="48"/>
  <c r="AH10" i="48"/>
  <c r="AH20" i="48"/>
  <c r="AH19" i="48"/>
  <c r="AH8" i="48"/>
  <c r="AH17" i="48"/>
  <c r="AH13" i="48"/>
  <c r="AH9" i="48"/>
  <c r="AH5" i="48"/>
  <c r="AG32" i="48"/>
  <c r="AG30" i="48"/>
  <c r="AG28" i="48"/>
  <c r="AG29" i="48" s="1"/>
  <c r="AE12" i="47"/>
  <c r="AE11" i="47"/>
  <c r="AD31" i="47"/>
  <c r="AD29" i="47"/>
  <c r="AD30" i="47" s="1"/>
  <c r="AD33" i="47"/>
  <c r="AE9" i="47"/>
  <c r="AE18" i="47"/>
  <c r="AE5" i="47"/>
  <c r="AE29" i="47" s="1"/>
  <c r="AE10" i="47"/>
  <c r="AE8" i="47"/>
  <c r="AG3" i="47"/>
  <c r="AF4" i="47"/>
  <c r="AF26" i="47" s="1"/>
  <c r="AC32" i="47"/>
  <c r="D11" i="1"/>
  <c r="D93" i="1"/>
  <c r="D92" i="1"/>
  <c r="D91" i="1"/>
  <c r="AM20" i="54" l="1"/>
  <c r="AM23" i="54"/>
  <c r="AJ7" i="53"/>
  <c r="AJ23" i="53"/>
  <c r="AM7" i="55"/>
  <c r="AM25" i="55"/>
  <c r="AM6" i="55"/>
  <c r="AM5" i="55"/>
  <c r="AM22" i="55"/>
  <c r="AM9" i="55"/>
  <c r="AM17" i="55"/>
  <c r="AM10" i="55"/>
  <c r="AM23" i="55"/>
  <c r="AK30" i="55"/>
  <c r="AL27" i="55"/>
  <c r="AL28" i="55" s="1"/>
  <c r="AL31" i="55"/>
  <c r="AL29" i="55"/>
  <c r="AO3" i="55"/>
  <c r="AN4" i="55"/>
  <c r="AI24" i="7"/>
  <c r="AI25" i="7"/>
  <c r="AM24" i="54"/>
  <c r="AM25" i="54"/>
  <c r="AL30" i="54"/>
  <c r="AL31" i="54" s="1"/>
  <c r="AJ22" i="53"/>
  <c r="AI22" i="7"/>
  <c r="AI23" i="7"/>
  <c r="AI7" i="7"/>
  <c r="AK23" i="52"/>
  <c r="AK22" i="52"/>
  <c r="AM18" i="54"/>
  <c r="AJ15" i="53"/>
  <c r="AL34" i="54"/>
  <c r="AL32" i="54"/>
  <c r="AK33" i="54"/>
  <c r="AO3" i="54"/>
  <c r="AN4" i="54"/>
  <c r="AM17" i="54"/>
  <c r="AM9" i="54"/>
  <c r="AM12" i="54"/>
  <c r="AM6" i="54"/>
  <c r="AM5" i="54"/>
  <c r="AM7" i="54"/>
  <c r="AK7" i="52"/>
  <c r="AJ16" i="53"/>
  <c r="AJ5" i="53"/>
  <c r="AI10" i="7"/>
  <c r="AK12" i="52"/>
  <c r="AJ18" i="50"/>
  <c r="AI29" i="53"/>
  <c r="AI30" i="53" s="1"/>
  <c r="AI33" i="53"/>
  <c r="AI31" i="53"/>
  <c r="AJ12" i="53"/>
  <c r="AJ6" i="53"/>
  <c r="AL3" i="53"/>
  <c r="AK4" i="53"/>
  <c r="AK23" i="53" s="1"/>
  <c r="AH32" i="53"/>
  <c r="AJ32" i="52"/>
  <c r="AJ30" i="52"/>
  <c r="AJ28" i="52"/>
  <c r="AJ29" i="52" s="1"/>
  <c r="AK6" i="52"/>
  <c r="AK5" i="52"/>
  <c r="AK9" i="52"/>
  <c r="AK10" i="52"/>
  <c r="AK15" i="52"/>
  <c r="AM3" i="52"/>
  <c r="AL4" i="52"/>
  <c r="AI31" i="52"/>
  <c r="AH27" i="7"/>
  <c r="AH28" i="7" s="1"/>
  <c r="AH31" i="7"/>
  <c r="AH29" i="7"/>
  <c r="AG30" i="7"/>
  <c r="AK3" i="7"/>
  <c r="AJ4" i="7"/>
  <c r="AI17" i="7"/>
  <c r="AI6" i="7"/>
  <c r="AI5" i="7"/>
  <c r="AI12" i="7"/>
  <c r="AI9" i="7"/>
  <c r="AI21" i="48"/>
  <c r="AI21" i="49"/>
  <c r="AH32" i="50"/>
  <c r="AJ17" i="50"/>
  <c r="AJ12" i="50"/>
  <c r="AJ10" i="50"/>
  <c r="AJ7" i="50"/>
  <c r="AJ6" i="50"/>
  <c r="AJ5" i="50"/>
  <c r="AL3" i="50"/>
  <c r="AK4" i="50"/>
  <c r="AI29" i="50"/>
  <c r="AI30" i="50" s="1"/>
  <c r="AI33" i="50"/>
  <c r="AI31" i="50"/>
  <c r="AK3" i="49"/>
  <c r="AJ4" i="49"/>
  <c r="AJ20" i="49" s="1"/>
  <c r="AH35" i="49"/>
  <c r="AH33" i="49"/>
  <c r="AH31" i="49"/>
  <c r="AH32" i="49" s="1"/>
  <c r="AI19" i="49"/>
  <c r="AI6" i="49"/>
  <c r="AI5" i="49"/>
  <c r="AI12" i="49"/>
  <c r="AI10" i="49"/>
  <c r="AI7" i="49"/>
  <c r="AI14" i="49"/>
  <c r="AI8" i="49"/>
  <c r="AG34" i="49"/>
  <c r="AG31" i="48"/>
  <c r="AH32" i="48"/>
  <c r="AH28" i="48"/>
  <c r="AH29" i="48" s="1"/>
  <c r="AH30" i="48"/>
  <c r="AJ4" i="48"/>
  <c r="AK3" i="48"/>
  <c r="AI15" i="48"/>
  <c r="AI8" i="48"/>
  <c r="AI20" i="48"/>
  <c r="AI19" i="48"/>
  <c r="AI17" i="48"/>
  <c r="AI9" i="48"/>
  <c r="AI5" i="48"/>
  <c r="AI10" i="48"/>
  <c r="AF12" i="47"/>
  <c r="AF11" i="47"/>
  <c r="AE30" i="47"/>
  <c r="AE33" i="47"/>
  <c r="AE31" i="47"/>
  <c r="AF5" i="47"/>
  <c r="AF18" i="47"/>
  <c r="AF14" i="47"/>
  <c r="AF8" i="47"/>
  <c r="AF10" i="47"/>
  <c r="AF9" i="47"/>
  <c r="AD32" i="47"/>
  <c r="AH3" i="47"/>
  <c r="AG4" i="47"/>
  <c r="AG26" i="47" s="1"/>
  <c r="AN23" i="54" l="1"/>
  <c r="AN20" i="54"/>
  <c r="AN25" i="55"/>
  <c r="AN6" i="55"/>
  <c r="AN5" i="55"/>
  <c r="AN22" i="55"/>
  <c r="AN17" i="55"/>
  <c r="AN10" i="55"/>
  <c r="AN9" i="55"/>
  <c r="AN7" i="55"/>
  <c r="AN23" i="55"/>
  <c r="AP3" i="55"/>
  <c r="AO4" i="55"/>
  <c r="AM27" i="55"/>
  <c r="AM28" i="55" s="1"/>
  <c r="AM31" i="55"/>
  <c r="AM29" i="55"/>
  <c r="AL30" i="55"/>
  <c r="AJ24" i="7"/>
  <c r="AJ25" i="7"/>
  <c r="AN24" i="54"/>
  <c r="AN25" i="54"/>
  <c r="AM30" i="54"/>
  <c r="AM31" i="54" s="1"/>
  <c r="AK7" i="53"/>
  <c r="AK24" i="53"/>
  <c r="AK22" i="53"/>
  <c r="AJ22" i="7"/>
  <c r="AJ23" i="7"/>
  <c r="AJ7" i="7"/>
  <c r="AL23" i="52"/>
  <c r="AL22" i="52"/>
  <c r="AN18" i="54"/>
  <c r="AK15" i="53"/>
  <c r="AN17" i="54"/>
  <c r="AN9" i="54"/>
  <c r="AN7" i="54"/>
  <c r="AN6" i="54"/>
  <c r="AN5" i="54"/>
  <c r="AO4" i="54"/>
  <c r="AP3" i="54"/>
  <c r="AL33" i="54"/>
  <c r="AM34" i="54"/>
  <c r="AM32" i="54"/>
  <c r="AL7" i="52"/>
  <c r="AK16" i="53"/>
  <c r="AK5" i="53"/>
  <c r="AJ10" i="7"/>
  <c r="AL12" i="52"/>
  <c r="AK18" i="50"/>
  <c r="AK9" i="53"/>
  <c r="AK12" i="53"/>
  <c r="AK6" i="53"/>
  <c r="AL4" i="53"/>
  <c r="AL23" i="53" s="1"/>
  <c r="AM3" i="53"/>
  <c r="AI32" i="53"/>
  <c r="AJ33" i="53"/>
  <c r="AJ31" i="53"/>
  <c r="AJ29" i="53"/>
  <c r="AJ30" i="53" s="1"/>
  <c r="AK28" i="52"/>
  <c r="AK29" i="52" s="1"/>
  <c r="AK32" i="52"/>
  <c r="AK30" i="52"/>
  <c r="AL5" i="52"/>
  <c r="AL10" i="52"/>
  <c r="AL9" i="52"/>
  <c r="AL15" i="52"/>
  <c r="AL6" i="52"/>
  <c r="AN3" i="52"/>
  <c r="AM4" i="52"/>
  <c r="AJ31" i="52"/>
  <c r="AJ17" i="7"/>
  <c r="AJ6" i="7"/>
  <c r="AJ5" i="7"/>
  <c r="AJ12" i="7"/>
  <c r="AJ9" i="7"/>
  <c r="AL3" i="7"/>
  <c r="AK4" i="7"/>
  <c r="AH30" i="7"/>
  <c r="AI27" i="7"/>
  <c r="AI28" i="7" s="1"/>
  <c r="AI31" i="7"/>
  <c r="AI29" i="7"/>
  <c r="AJ21" i="48"/>
  <c r="AJ21" i="49"/>
  <c r="AJ33" i="50"/>
  <c r="AJ31" i="50"/>
  <c r="AJ29" i="50"/>
  <c r="AJ30" i="50" s="1"/>
  <c r="AI32" i="50"/>
  <c r="AK17" i="50"/>
  <c r="AK14" i="50"/>
  <c r="AK12" i="50"/>
  <c r="AK7" i="50"/>
  <c r="AK6" i="50"/>
  <c r="AK5" i="50"/>
  <c r="AK10" i="50"/>
  <c r="AK8" i="50"/>
  <c r="AM3" i="50"/>
  <c r="AL4" i="50"/>
  <c r="AH34" i="49"/>
  <c r="AI31" i="49"/>
  <c r="AI32" i="49" s="1"/>
  <c r="AI35" i="49"/>
  <c r="AI33" i="49"/>
  <c r="AJ12" i="49"/>
  <c r="AJ10" i="49"/>
  <c r="AJ14" i="49"/>
  <c r="AJ8" i="49"/>
  <c r="AJ19" i="49"/>
  <c r="AJ7" i="49"/>
  <c r="AJ5" i="49"/>
  <c r="AJ6" i="49"/>
  <c r="AL3" i="49"/>
  <c r="AK4" i="49"/>
  <c r="AK20" i="49" s="1"/>
  <c r="AI28" i="48"/>
  <c r="AI29" i="48" s="1"/>
  <c r="AI32" i="48"/>
  <c r="AI30" i="48"/>
  <c r="AK4" i="48"/>
  <c r="AL3" i="48"/>
  <c r="AJ20" i="48"/>
  <c r="AJ19" i="48"/>
  <c r="AJ8" i="48"/>
  <c r="AJ17" i="48"/>
  <c r="AJ9" i="48"/>
  <c r="AJ5" i="48"/>
  <c r="AJ15" i="48"/>
  <c r="AJ10" i="48"/>
  <c r="AH31" i="48"/>
  <c r="AG12" i="47"/>
  <c r="AG21" i="47"/>
  <c r="AG11" i="47"/>
  <c r="AF29" i="47"/>
  <c r="AF30" i="47" s="1"/>
  <c r="AF33" i="47"/>
  <c r="AF31" i="47"/>
  <c r="AG5" i="47"/>
  <c r="AG18" i="47"/>
  <c r="AG14" i="47"/>
  <c r="AG10" i="47"/>
  <c r="AG8" i="47"/>
  <c r="AG9" i="47"/>
  <c r="AI3" i="47"/>
  <c r="AH4" i="47"/>
  <c r="AH26" i="47" s="1"/>
  <c r="AE32" i="47"/>
  <c r="AO26" i="54" l="1"/>
  <c r="AO23" i="54"/>
  <c r="AO20" i="54"/>
  <c r="AO22" i="55"/>
  <c r="AO6" i="55"/>
  <c r="AO17" i="55"/>
  <c r="AO10" i="55"/>
  <c r="AO9" i="55"/>
  <c r="AO23" i="55"/>
  <c r="AO5" i="55"/>
  <c r="AO7" i="55"/>
  <c r="AO25" i="55"/>
  <c r="AQ3" i="55"/>
  <c r="AQ4" i="55" s="1"/>
  <c r="AP4" i="55"/>
  <c r="AM30" i="55"/>
  <c r="AN27" i="55"/>
  <c r="AN28" i="55" s="1"/>
  <c r="AN31" i="55"/>
  <c r="AN29" i="55"/>
  <c r="AK24" i="7"/>
  <c r="AK25" i="7"/>
  <c r="AN30" i="54"/>
  <c r="AN31" i="54" s="1"/>
  <c r="AO24" i="54"/>
  <c r="AO25" i="54"/>
  <c r="AL7" i="53"/>
  <c r="AL24" i="53"/>
  <c r="AL22" i="53"/>
  <c r="AK22" i="7"/>
  <c r="AK23" i="7"/>
  <c r="AK7" i="7"/>
  <c r="AM23" i="52"/>
  <c r="AM22" i="52"/>
  <c r="AO18" i="54"/>
  <c r="AL15" i="53"/>
  <c r="AP4" i="54"/>
  <c r="AQ3" i="54"/>
  <c r="AQ4" i="54" s="1"/>
  <c r="AN32" i="54"/>
  <c r="AN34" i="54"/>
  <c r="AO17" i="54"/>
  <c r="AO9" i="54"/>
  <c r="AO7" i="54"/>
  <c r="AO6" i="54"/>
  <c r="AO5" i="54"/>
  <c r="AM33" i="54"/>
  <c r="AM7" i="52"/>
  <c r="AL16" i="53"/>
  <c r="AL5" i="53"/>
  <c r="AK10" i="7"/>
  <c r="AM12" i="52"/>
  <c r="AL18" i="50"/>
  <c r="AK29" i="53"/>
  <c r="AK30" i="53" s="1"/>
  <c r="AK33" i="53"/>
  <c r="AK31" i="53"/>
  <c r="AL9" i="53"/>
  <c r="AL12" i="53"/>
  <c r="AL6" i="53"/>
  <c r="AJ32" i="53"/>
  <c r="AM4" i="53"/>
  <c r="AM23" i="53" s="1"/>
  <c r="AN3" i="53"/>
  <c r="AL30" i="52"/>
  <c r="AL28" i="52"/>
  <c r="AL29" i="52" s="1"/>
  <c r="AL32" i="52"/>
  <c r="AO3" i="52"/>
  <c r="AN4" i="52"/>
  <c r="AK31" i="52"/>
  <c r="AM9" i="52"/>
  <c r="AM6" i="52"/>
  <c r="AM15" i="52"/>
  <c r="AM5" i="52"/>
  <c r="AK6" i="7"/>
  <c r="AK5" i="7"/>
  <c r="AK12" i="7"/>
  <c r="AK9" i="7"/>
  <c r="AK17" i="7"/>
  <c r="AM3" i="7"/>
  <c r="AL4" i="7"/>
  <c r="AJ31" i="7"/>
  <c r="AJ29" i="7"/>
  <c r="AJ27" i="7"/>
  <c r="AJ28" i="7" s="1"/>
  <c r="AI30" i="7"/>
  <c r="AK21" i="48"/>
  <c r="AK22" i="48"/>
  <c r="AK21" i="49"/>
  <c r="AL8" i="50"/>
  <c r="AL17" i="50"/>
  <c r="AL14" i="50"/>
  <c r="AL12" i="50"/>
  <c r="AL6" i="50"/>
  <c r="AL5" i="50"/>
  <c r="AM10" i="50"/>
  <c r="AL7" i="50"/>
  <c r="AK33" i="50"/>
  <c r="AK31" i="50"/>
  <c r="AK29" i="50"/>
  <c r="AK30" i="50" s="1"/>
  <c r="AJ32" i="50"/>
  <c r="AM4" i="50"/>
  <c r="AM19" i="50" s="1"/>
  <c r="AN3" i="50"/>
  <c r="AL4" i="49"/>
  <c r="AL20" i="49" s="1"/>
  <c r="AM3" i="49"/>
  <c r="AI34" i="49"/>
  <c r="AK14" i="49"/>
  <c r="AK10" i="49"/>
  <c r="AK8" i="49"/>
  <c r="AK19" i="49"/>
  <c r="AK7" i="49"/>
  <c r="AK6" i="49"/>
  <c r="AK5" i="49"/>
  <c r="AJ35" i="49"/>
  <c r="AJ33" i="49"/>
  <c r="AJ31" i="49"/>
  <c r="AJ32" i="49" s="1"/>
  <c r="AL4" i="48"/>
  <c r="AM3" i="48"/>
  <c r="AK20" i="48"/>
  <c r="AK19" i="48"/>
  <c r="AK13" i="48"/>
  <c r="AK17" i="48"/>
  <c r="AK9" i="48"/>
  <c r="AK5" i="48"/>
  <c r="AK15" i="48"/>
  <c r="AK8" i="48"/>
  <c r="AK10" i="48"/>
  <c r="AJ28" i="48"/>
  <c r="AJ29" i="48" s="1"/>
  <c r="AJ32" i="48"/>
  <c r="AJ30" i="48"/>
  <c r="AI31" i="48"/>
  <c r="AH12" i="47"/>
  <c r="AH21" i="47"/>
  <c r="AH11" i="47"/>
  <c r="AG29" i="47"/>
  <c r="AG30" i="47" s="1"/>
  <c r="AG33" i="47"/>
  <c r="AG31" i="47"/>
  <c r="AH18" i="47"/>
  <c r="AH14" i="47"/>
  <c r="AH10" i="47"/>
  <c r="AH8" i="47"/>
  <c r="AH16" i="47"/>
  <c r="AH9" i="47"/>
  <c r="AH5" i="47"/>
  <c r="AJ3" i="47"/>
  <c r="AI4" i="47"/>
  <c r="AI26" i="47" s="1"/>
  <c r="AF32" i="47"/>
  <c r="AO30" i="54" l="1"/>
  <c r="AO31" i="54" s="1"/>
  <c r="AQ26" i="54"/>
  <c r="AQ20" i="54"/>
  <c r="AQ23" i="54"/>
  <c r="AP20" i="54"/>
  <c r="AP26" i="54"/>
  <c r="AP23" i="54"/>
  <c r="AO27" i="55"/>
  <c r="AO28" i="55" s="1"/>
  <c r="AO31" i="55"/>
  <c r="AO29" i="55"/>
  <c r="AN30" i="55"/>
  <c r="AQ17" i="55"/>
  <c r="AQ10" i="55"/>
  <c r="AQ9" i="55"/>
  <c r="AQ23" i="55"/>
  <c r="AQ7" i="55"/>
  <c r="AQ25" i="55"/>
  <c r="AQ6" i="55"/>
  <c r="AQ5" i="55"/>
  <c r="AQ22" i="55"/>
  <c r="AP22" i="55"/>
  <c r="AP17" i="55"/>
  <c r="AP10" i="55"/>
  <c r="AP9" i="55"/>
  <c r="AP23" i="55"/>
  <c r="AP5" i="55"/>
  <c r="AP7" i="55"/>
  <c r="AP25" i="55"/>
  <c r="AP6" i="55"/>
  <c r="AL24" i="7"/>
  <c r="AL25" i="7"/>
  <c r="AQ25" i="54"/>
  <c r="AQ24" i="54"/>
  <c r="AP24" i="54"/>
  <c r="AP25" i="54"/>
  <c r="AM7" i="53"/>
  <c r="AM24" i="53"/>
  <c r="AM22" i="53"/>
  <c r="AL23" i="7"/>
  <c r="AL22" i="7"/>
  <c r="AL7" i="7"/>
  <c r="AN23" i="52"/>
  <c r="AN22" i="52"/>
  <c r="AQ18" i="54"/>
  <c r="AP18" i="54"/>
  <c r="AM15" i="53"/>
  <c r="AN33" i="54"/>
  <c r="AQ17" i="54"/>
  <c r="AQ10" i="54"/>
  <c r="AQ9" i="54"/>
  <c r="AQ6" i="54"/>
  <c r="AQ5" i="54"/>
  <c r="AQ7" i="54"/>
  <c r="AQ12" i="54"/>
  <c r="AO34" i="54"/>
  <c r="AO32" i="54"/>
  <c r="AP7" i="54"/>
  <c r="AP17" i="54"/>
  <c r="AP6" i="54"/>
  <c r="AP5" i="54"/>
  <c r="AP30" i="54" s="1"/>
  <c r="AP10" i="54"/>
  <c r="AP9" i="54"/>
  <c r="AN7" i="52"/>
  <c r="AM16" i="53"/>
  <c r="AM5" i="53"/>
  <c r="AL10" i="7"/>
  <c r="AN12" i="52"/>
  <c r="AM18" i="50"/>
  <c r="AN4" i="53"/>
  <c r="AN23" i="53" s="1"/>
  <c r="AO3" i="53"/>
  <c r="AM9" i="53"/>
  <c r="AM12" i="53"/>
  <c r="AM6" i="53"/>
  <c r="AK32" i="53"/>
  <c r="AL29" i="53"/>
  <c r="AL30" i="53" s="1"/>
  <c r="AL33" i="53"/>
  <c r="AL31" i="53"/>
  <c r="AN9" i="52"/>
  <c r="AN5" i="52"/>
  <c r="AN6" i="52"/>
  <c r="AM28" i="52"/>
  <c r="AM29" i="52" s="1"/>
  <c r="AM32" i="52"/>
  <c r="AM30" i="52"/>
  <c r="AP3" i="52"/>
  <c r="AO4" i="52"/>
  <c r="AL31" i="52"/>
  <c r="AL5" i="7"/>
  <c r="AL12" i="7"/>
  <c r="AL9" i="7"/>
  <c r="AL6" i="7"/>
  <c r="AL17" i="7"/>
  <c r="AK29" i="7"/>
  <c r="AK31" i="7"/>
  <c r="AK27" i="7"/>
  <c r="AK28" i="7" s="1"/>
  <c r="AN3" i="7"/>
  <c r="AM4" i="7"/>
  <c r="AJ30" i="7"/>
  <c r="AL21" i="48"/>
  <c r="AL22" i="48"/>
  <c r="AN4" i="50"/>
  <c r="AO3" i="50"/>
  <c r="AM7" i="50"/>
  <c r="AM6" i="50"/>
  <c r="AM14" i="50"/>
  <c r="AM12" i="50"/>
  <c r="AM17" i="50"/>
  <c r="AN10" i="50"/>
  <c r="AM8" i="50"/>
  <c r="AL31" i="50"/>
  <c r="AL33" i="50"/>
  <c r="AL29" i="50"/>
  <c r="AL30" i="50" s="1"/>
  <c r="AK32" i="50"/>
  <c r="AK35" i="49"/>
  <c r="AK33" i="49"/>
  <c r="AK31" i="49"/>
  <c r="AK32" i="49" s="1"/>
  <c r="AJ34" i="49"/>
  <c r="AN3" i="49"/>
  <c r="AM4" i="49"/>
  <c r="AM20" i="49" s="1"/>
  <c r="AL8" i="49"/>
  <c r="AL19" i="49"/>
  <c r="AL7" i="49"/>
  <c r="AL6" i="49"/>
  <c r="AL10" i="49"/>
  <c r="AL5" i="49"/>
  <c r="AL14" i="49"/>
  <c r="AK28" i="48"/>
  <c r="AK29" i="48" s="1"/>
  <c r="AK32" i="48"/>
  <c r="AK30" i="48"/>
  <c r="AJ31" i="48"/>
  <c r="AM4" i="48"/>
  <c r="AN3" i="48"/>
  <c r="AL20" i="48"/>
  <c r="AL19" i="48"/>
  <c r="AL17" i="48"/>
  <c r="AL5" i="48"/>
  <c r="AL10" i="48"/>
  <c r="AL9" i="48"/>
  <c r="AL15" i="48"/>
  <c r="AL8" i="48"/>
  <c r="AI12" i="47"/>
  <c r="AI21" i="47"/>
  <c r="AI11" i="47"/>
  <c r="AI18" i="47"/>
  <c r="AI14" i="47"/>
  <c r="AI10" i="47"/>
  <c r="AI8" i="47"/>
  <c r="AI16" i="47"/>
  <c r="AI9" i="47"/>
  <c r="AI5" i="47"/>
  <c r="AK3" i="47"/>
  <c r="AJ4" i="47"/>
  <c r="AJ26" i="47" s="1"/>
  <c r="AG32" i="47"/>
  <c r="AH33" i="47"/>
  <c r="AH31" i="47"/>
  <c r="AH29" i="47"/>
  <c r="AH30" i="47" s="1"/>
  <c r="AT17" i="54" l="1"/>
  <c r="AR17" i="54"/>
  <c r="AS17" i="54"/>
  <c r="AU17" i="54"/>
  <c r="AS24" i="54"/>
  <c r="AT24" i="54"/>
  <c r="AU24" i="54"/>
  <c r="AR24" i="54"/>
  <c r="AV24" i="54" s="1"/>
  <c r="AS18" i="54"/>
  <c r="AU18" i="54"/>
  <c r="AT18" i="54"/>
  <c r="AV18" i="54" s="1"/>
  <c r="AR18" i="54"/>
  <c r="AS12" i="54"/>
  <c r="AR12" i="54"/>
  <c r="AU12" i="54"/>
  <c r="AT12" i="54"/>
  <c r="AR23" i="54"/>
  <c r="AV23" i="54" s="1"/>
  <c r="AT23" i="54"/>
  <c r="AU23" i="54"/>
  <c r="AS23" i="54"/>
  <c r="AU6" i="54"/>
  <c r="AR6" i="54"/>
  <c r="AV6" i="54" s="1"/>
  <c r="AT6" i="54"/>
  <c r="AS6" i="54"/>
  <c r="AS20" i="54"/>
  <c r="AU20" i="54"/>
  <c r="AR20" i="54"/>
  <c r="AT20" i="54"/>
  <c r="AT10" i="54"/>
  <c r="AU10" i="54"/>
  <c r="AS10" i="54"/>
  <c r="AR10" i="54"/>
  <c r="AV10" i="54" s="1"/>
  <c r="AU25" i="54"/>
  <c r="AS25" i="54"/>
  <c r="AT25" i="54"/>
  <c r="AR25" i="54"/>
  <c r="AU7" i="54"/>
  <c r="AR7" i="54"/>
  <c r="AS7" i="54"/>
  <c r="AT7" i="54"/>
  <c r="AS9" i="54"/>
  <c r="AR9" i="54"/>
  <c r="AT9" i="54"/>
  <c r="AU9" i="54"/>
  <c r="AT26" i="54"/>
  <c r="AS26" i="54"/>
  <c r="AU26" i="54"/>
  <c r="AR26" i="54"/>
  <c r="AU12" i="53"/>
  <c r="AS12" i="53"/>
  <c r="AR12" i="53"/>
  <c r="AT12" i="53"/>
  <c r="AP27" i="55"/>
  <c r="AP28" i="55" s="1"/>
  <c r="AP31" i="55"/>
  <c r="AP29" i="55"/>
  <c r="AS17" i="55"/>
  <c r="AR17" i="55"/>
  <c r="AT17" i="55"/>
  <c r="AU17" i="55"/>
  <c r="AR7" i="55"/>
  <c r="AV7" i="55" s="1"/>
  <c r="AS7" i="55"/>
  <c r="AT7" i="55"/>
  <c r="AU7" i="55"/>
  <c r="AU9" i="55"/>
  <c r="AT9" i="55"/>
  <c r="AS9" i="55"/>
  <c r="AR9" i="55"/>
  <c r="AU12" i="55"/>
  <c r="AR12" i="55"/>
  <c r="AT12" i="55"/>
  <c r="AS12" i="55"/>
  <c r="AT23" i="55"/>
  <c r="AU23" i="55"/>
  <c r="AR23" i="55"/>
  <c r="AV23" i="55" s="1"/>
  <c r="AS23" i="55"/>
  <c r="AS25" i="55"/>
  <c r="AR25" i="55"/>
  <c r="AV25" i="55" s="1"/>
  <c r="AU25" i="55"/>
  <c r="AT25" i="55"/>
  <c r="AQ27" i="55"/>
  <c r="AQ31" i="55"/>
  <c r="AV31" i="55" s="1"/>
  <c r="AQ29" i="55"/>
  <c r="AV29" i="55" s="1"/>
  <c r="AT5" i="55"/>
  <c r="AS5" i="55"/>
  <c r="AU5" i="55"/>
  <c r="AR5" i="55"/>
  <c r="AO30" i="55"/>
  <c r="AR10" i="55"/>
  <c r="AT10" i="55"/>
  <c r="AS10" i="55"/>
  <c r="AU10" i="55"/>
  <c r="AR6" i="55"/>
  <c r="AU6" i="55"/>
  <c r="AS6" i="55"/>
  <c r="AT6" i="55"/>
  <c r="AM24" i="7"/>
  <c r="AM25" i="7"/>
  <c r="AN7" i="53"/>
  <c r="AN24" i="53"/>
  <c r="AN22" i="53"/>
  <c r="AM23" i="7"/>
  <c r="AM22" i="7"/>
  <c r="AM7" i="7"/>
  <c r="AO23" i="52"/>
  <c r="AO22" i="52"/>
  <c r="AN15" i="53"/>
  <c r="AP31" i="54"/>
  <c r="AP34" i="54"/>
  <c r="AP32" i="54"/>
  <c r="AS5" i="54"/>
  <c r="AT5" i="54"/>
  <c r="AR5" i="54"/>
  <c r="AU5" i="54"/>
  <c r="AO33" i="54"/>
  <c r="AO7" i="52"/>
  <c r="AN5" i="53"/>
  <c r="AN16" i="53"/>
  <c r="AM10" i="7"/>
  <c r="AO12" i="52"/>
  <c r="AN18" i="50"/>
  <c r="AM29" i="53"/>
  <c r="AM30" i="53" s="1"/>
  <c r="AM33" i="53"/>
  <c r="AM31" i="53"/>
  <c r="AO4" i="53"/>
  <c r="AO23" i="53" s="1"/>
  <c r="AP3" i="53"/>
  <c r="AL32" i="53"/>
  <c r="AN6" i="53"/>
  <c r="AN9" i="53"/>
  <c r="AM31" i="52"/>
  <c r="AO6" i="52"/>
  <c r="AO9" i="52"/>
  <c r="AO5" i="52"/>
  <c r="AN28" i="52"/>
  <c r="AN29" i="52" s="1"/>
  <c r="AN32" i="52"/>
  <c r="AN30" i="52"/>
  <c r="AP4" i="52"/>
  <c r="AP22" i="52" s="1"/>
  <c r="AQ3" i="52"/>
  <c r="AQ4" i="52" s="1"/>
  <c r="AQ22" i="52" s="1"/>
  <c r="AM12" i="7"/>
  <c r="AM5" i="7"/>
  <c r="AM9" i="7"/>
  <c r="AM17" i="7"/>
  <c r="AM6" i="7"/>
  <c r="AO3" i="7"/>
  <c r="AN4" i="7"/>
  <c r="AL27" i="7"/>
  <c r="AL28" i="7" s="1"/>
  <c r="AL31" i="7"/>
  <c r="AL29" i="7"/>
  <c r="AK30" i="7"/>
  <c r="AM21" i="48"/>
  <c r="AM22" i="48"/>
  <c r="AL32" i="50"/>
  <c r="AM33" i="50"/>
  <c r="AM29" i="50"/>
  <c r="AM30" i="50" s="1"/>
  <c r="AM31" i="50"/>
  <c r="AO4" i="50"/>
  <c r="AP3" i="50"/>
  <c r="AN6" i="50"/>
  <c r="AN12" i="50"/>
  <c r="AN8" i="50"/>
  <c r="AO10" i="50"/>
  <c r="AN19" i="50"/>
  <c r="AN7" i="50"/>
  <c r="AM19" i="49"/>
  <c r="AM6" i="49"/>
  <c r="AM7" i="49"/>
  <c r="AM8" i="49"/>
  <c r="AM12" i="49"/>
  <c r="AM10" i="49"/>
  <c r="AM5" i="49"/>
  <c r="AM14" i="49"/>
  <c r="AL35" i="49"/>
  <c r="AL33" i="49"/>
  <c r="AL31" i="49"/>
  <c r="AL32" i="49" s="1"/>
  <c r="AO3" i="49"/>
  <c r="AN4" i="49"/>
  <c r="AN20" i="49" s="1"/>
  <c r="AK34" i="49"/>
  <c r="AO3" i="48"/>
  <c r="AN4" i="48"/>
  <c r="AM17" i="48"/>
  <c r="AM9" i="48"/>
  <c r="AM5" i="48"/>
  <c r="AM15" i="48"/>
  <c r="AM10" i="48"/>
  <c r="AM19" i="48"/>
  <c r="AM8" i="48"/>
  <c r="AM20" i="48"/>
  <c r="AK31" i="48"/>
  <c r="AL28" i="48"/>
  <c r="AL29" i="48" s="1"/>
  <c r="AL32" i="48"/>
  <c r="AL30" i="48"/>
  <c r="AJ21" i="47"/>
  <c r="AJ11" i="47"/>
  <c r="AJ10" i="47"/>
  <c r="AJ8" i="47"/>
  <c r="AJ16" i="47"/>
  <c r="AJ9" i="47"/>
  <c r="AJ5" i="47"/>
  <c r="AJ18" i="47"/>
  <c r="AJ14" i="47"/>
  <c r="AK4" i="47"/>
  <c r="AL3" i="47"/>
  <c r="AI29" i="47"/>
  <c r="AI30" i="47" s="1"/>
  <c r="AI33" i="47"/>
  <c r="AI31" i="47"/>
  <c r="AH32" i="47"/>
  <c r="AV26" i="54" l="1"/>
  <c r="AV9" i="54"/>
  <c r="AV7" i="54"/>
  <c r="AV12" i="54"/>
  <c r="AV25" i="54"/>
  <c r="AV17" i="54"/>
  <c r="AV20" i="54"/>
  <c r="AV12" i="53"/>
  <c r="AV12" i="55"/>
  <c r="AV6" i="55"/>
  <c r="AV17" i="55"/>
  <c r="AV9" i="55"/>
  <c r="AV10" i="55"/>
  <c r="AQ28" i="55"/>
  <c r="AV28" i="55" s="1"/>
  <c r="AV27" i="55"/>
  <c r="AY28" i="55" s="1"/>
  <c r="AX28" i="55"/>
  <c r="AQ30" i="55"/>
  <c r="AR27" i="55"/>
  <c r="AR30" i="55"/>
  <c r="AS27" i="55"/>
  <c r="AS30" i="55"/>
  <c r="AV5" i="55"/>
  <c r="AU27" i="55"/>
  <c r="AU30" i="55"/>
  <c r="AT27" i="55"/>
  <c r="AT30" i="55"/>
  <c r="AP30" i="55"/>
  <c r="AN24" i="7"/>
  <c r="AN25" i="7"/>
  <c r="AO7" i="53"/>
  <c r="AO24" i="53"/>
  <c r="AO22" i="53"/>
  <c r="AN22" i="7"/>
  <c r="AN23" i="7"/>
  <c r="AN7" i="7"/>
  <c r="AQ23" i="52"/>
  <c r="AP23" i="52"/>
  <c r="AO15" i="53"/>
  <c r="AP33" i="54"/>
  <c r="AV5" i="54"/>
  <c r="AQ7" i="52"/>
  <c r="AP7" i="52"/>
  <c r="AO16" i="53"/>
  <c r="AO5" i="53"/>
  <c r="AN10" i="7"/>
  <c r="AQ12" i="52"/>
  <c r="AP12" i="52"/>
  <c r="AO18" i="50"/>
  <c r="AQ3" i="53"/>
  <c r="AQ4" i="53" s="1"/>
  <c r="AQ23" i="53" s="1"/>
  <c r="AP4" i="53"/>
  <c r="AP23" i="53" s="1"/>
  <c r="AO6" i="53"/>
  <c r="AO9" i="53"/>
  <c r="AM32" i="53"/>
  <c r="AN29" i="53"/>
  <c r="AN30" i="53" s="1"/>
  <c r="AN33" i="53"/>
  <c r="AN31" i="53"/>
  <c r="AN31" i="52"/>
  <c r="AQ9" i="52"/>
  <c r="AQ10" i="52"/>
  <c r="AQ15" i="52"/>
  <c r="AQ6" i="52"/>
  <c r="AQ5" i="52"/>
  <c r="AO28" i="52"/>
  <c r="AO29" i="52" s="1"/>
  <c r="AO32" i="52"/>
  <c r="AO30" i="52"/>
  <c r="AP9" i="52"/>
  <c r="AP5" i="52"/>
  <c r="AP15" i="52"/>
  <c r="AP6" i="52"/>
  <c r="AN9" i="7"/>
  <c r="AN17" i="7"/>
  <c r="AN6" i="7"/>
  <c r="AN5" i="7"/>
  <c r="AL30" i="7"/>
  <c r="AP3" i="7"/>
  <c r="AO4" i="7"/>
  <c r="AM27" i="7"/>
  <c r="AM28" i="7" s="1"/>
  <c r="AM31" i="7"/>
  <c r="AM29" i="7"/>
  <c r="AN21" i="48"/>
  <c r="AN22" i="48"/>
  <c r="AP4" i="50"/>
  <c r="AQ3" i="50"/>
  <c r="AQ4" i="50" s="1"/>
  <c r="AO19" i="50"/>
  <c r="AO8" i="50"/>
  <c r="AO7" i="50"/>
  <c r="AO12" i="50"/>
  <c r="AO6" i="50"/>
  <c r="AN33" i="50"/>
  <c r="AN29" i="50"/>
  <c r="AN30" i="50" s="1"/>
  <c r="AN31" i="50"/>
  <c r="AM32" i="50"/>
  <c r="AM31" i="49"/>
  <c r="AM32" i="49" s="1"/>
  <c r="AM35" i="49"/>
  <c r="AM33" i="49"/>
  <c r="AL34" i="49"/>
  <c r="AN19" i="49"/>
  <c r="AN7" i="49"/>
  <c r="AN5" i="49"/>
  <c r="AN6" i="49"/>
  <c r="AN12" i="49"/>
  <c r="AN10" i="49"/>
  <c r="AN8" i="49"/>
  <c r="AN14" i="49"/>
  <c r="AO4" i="49"/>
  <c r="AO20" i="49" s="1"/>
  <c r="AP3" i="49"/>
  <c r="AL31" i="48"/>
  <c r="AM28" i="48"/>
  <c r="AM29" i="48" s="1"/>
  <c r="AM32" i="48"/>
  <c r="AM30" i="48"/>
  <c r="AN20" i="48"/>
  <c r="AN19" i="48"/>
  <c r="AN17" i="48"/>
  <c r="AN9" i="48"/>
  <c r="AN5" i="48"/>
  <c r="AN15" i="48"/>
  <c r="AN10" i="48"/>
  <c r="AN8" i="48"/>
  <c r="AN13" i="48"/>
  <c r="AP3" i="48"/>
  <c r="AO4" i="48"/>
  <c r="AK26" i="47"/>
  <c r="AK21" i="47"/>
  <c r="AL4" i="47"/>
  <c r="AM3" i="47"/>
  <c r="AK8" i="47"/>
  <c r="AK16" i="47"/>
  <c r="AK9" i="47"/>
  <c r="AK5" i="47"/>
  <c r="AK18" i="47"/>
  <c r="AK14" i="47"/>
  <c r="AK10" i="47"/>
  <c r="AJ29" i="47"/>
  <c r="AJ30" i="47" s="1"/>
  <c r="AJ33" i="47"/>
  <c r="AJ31" i="47"/>
  <c r="AI32" i="47"/>
  <c r="AT23" i="53" l="1"/>
  <c r="AU23" i="53"/>
  <c r="AS23" i="53"/>
  <c r="AR23" i="53"/>
  <c r="AV23" i="53" s="1"/>
  <c r="AU9" i="53"/>
  <c r="AR9" i="53"/>
  <c r="AT9" i="53"/>
  <c r="AS9" i="53"/>
  <c r="AV30" i="55"/>
  <c r="AO24" i="7"/>
  <c r="AO25" i="7"/>
  <c r="AQ24" i="53"/>
  <c r="AQ7" i="53"/>
  <c r="AP7" i="53"/>
  <c r="AP24" i="53"/>
  <c r="AQ22" i="53"/>
  <c r="AP22" i="53"/>
  <c r="AO22" i="7"/>
  <c r="AO23" i="7"/>
  <c r="AO7" i="7"/>
  <c r="AR7" i="52"/>
  <c r="AU7" i="52"/>
  <c r="AT7" i="52"/>
  <c r="AS7" i="52"/>
  <c r="AT6" i="52"/>
  <c r="AR6" i="52"/>
  <c r="AS6" i="52"/>
  <c r="AU6" i="52"/>
  <c r="AR15" i="52"/>
  <c r="AS15" i="52"/>
  <c r="AU15" i="52"/>
  <c r="AT15" i="52"/>
  <c r="AR10" i="52"/>
  <c r="AS10" i="52"/>
  <c r="AU10" i="52"/>
  <c r="AT10" i="52"/>
  <c r="AS9" i="52"/>
  <c r="AR9" i="52"/>
  <c r="AU9" i="52"/>
  <c r="AT9" i="52"/>
  <c r="AU12" i="52"/>
  <c r="AR12" i="52"/>
  <c r="AT12" i="52"/>
  <c r="AS12" i="52"/>
  <c r="AS22" i="52"/>
  <c r="AU22" i="52"/>
  <c r="AR22" i="52"/>
  <c r="AT22" i="52"/>
  <c r="AR23" i="52"/>
  <c r="AS23" i="52"/>
  <c r="AT23" i="52"/>
  <c r="AU23" i="52"/>
  <c r="AP15" i="53"/>
  <c r="AQ15" i="53"/>
  <c r="AP16" i="53"/>
  <c r="AP5" i="53"/>
  <c r="AQ16" i="53"/>
  <c r="AQ5" i="53"/>
  <c r="AO10" i="7"/>
  <c r="AQ18" i="50"/>
  <c r="AQ25" i="50"/>
  <c r="AP18" i="50"/>
  <c r="AP25" i="50"/>
  <c r="AO29" i="53"/>
  <c r="AO30" i="53" s="1"/>
  <c r="AO33" i="53"/>
  <c r="AO31" i="53"/>
  <c r="AN32" i="53"/>
  <c r="AP6" i="53"/>
  <c r="AQ6" i="53"/>
  <c r="AQ28" i="52"/>
  <c r="AQ32" i="52"/>
  <c r="AQ30" i="52"/>
  <c r="AT5" i="52"/>
  <c r="AU5" i="52"/>
  <c r="AS5" i="52"/>
  <c r="AR5" i="52"/>
  <c r="AP28" i="52"/>
  <c r="AP29" i="52" s="1"/>
  <c r="AP32" i="52"/>
  <c r="AP30" i="52"/>
  <c r="AO31" i="52"/>
  <c r="AO9" i="7"/>
  <c r="AO17" i="7"/>
  <c r="AO6" i="7"/>
  <c r="AO5" i="7"/>
  <c r="AN27" i="7"/>
  <c r="AN28" i="7" s="1"/>
  <c r="AN31" i="7"/>
  <c r="AN29" i="7"/>
  <c r="AP4" i="7"/>
  <c r="AQ3" i="7"/>
  <c r="AQ4" i="7" s="1"/>
  <c r="AM30" i="7"/>
  <c r="AO21" i="48"/>
  <c r="AO22" i="48"/>
  <c r="AO21" i="49"/>
  <c r="AO29" i="50"/>
  <c r="AO30" i="50" s="1"/>
  <c r="AO33" i="50"/>
  <c r="AO31" i="50"/>
  <c r="AQ17" i="50"/>
  <c r="AQ14" i="50"/>
  <c r="AQ12" i="50"/>
  <c r="AQ19" i="50"/>
  <c r="AQ10" i="50"/>
  <c r="AQ6" i="50"/>
  <c r="AQ8" i="50"/>
  <c r="AQ7" i="50"/>
  <c r="AQ5" i="50"/>
  <c r="AN32" i="50"/>
  <c r="AP19" i="50"/>
  <c r="AP10" i="50"/>
  <c r="AP17" i="50"/>
  <c r="AP7" i="50"/>
  <c r="AP8" i="50"/>
  <c r="AP12" i="50"/>
  <c r="AP6" i="50"/>
  <c r="AP5" i="50"/>
  <c r="AO14" i="49"/>
  <c r="AO5" i="49"/>
  <c r="AO19" i="49"/>
  <c r="AO6" i="49"/>
  <c r="AO10" i="49"/>
  <c r="AO7" i="49"/>
  <c r="AO8" i="49"/>
  <c r="AO12" i="49"/>
  <c r="AP4" i="49"/>
  <c r="AP20" i="49" s="1"/>
  <c r="AQ3" i="49"/>
  <c r="AQ4" i="49" s="1"/>
  <c r="AQ20" i="49" s="1"/>
  <c r="AM34" i="49"/>
  <c r="AN31" i="49"/>
  <c r="AN32" i="49" s="1"/>
  <c r="AN35" i="49"/>
  <c r="AN33" i="49"/>
  <c r="AN28" i="48"/>
  <c r="AN29" i="48" s="1"/>
  <c r="AN32" i="48"/>
  <c r="AN30" i="48"/>
  <c r="AQ3" i="48"/>
  <c r="AQ4" i="48" s="1"/>
  <c r="AP4" i="48"/>
  <c r="AO9" i="48"/>
  <c r="AO5" i="48"/>
  <c r="AO15" i="48"/>
  <c r="AO10" i="48"/>
  <c r="AO20" i="48"/>
  <c r="AO19" i="48"/>
  <c r="AO8" i="48"/>
  <c r="AO17" i="48"/>
  <c r="AO13" i="48"/>
  <c r="AM31" i="48"/>
  <c r="AL26" i="47"/>
  <c r="AL21" i="47"/>
  <c r="AK29" i="47"/>
  <c r="AK30" i="47" s="1"/>
  <c r="AK33" i="47"/>
  <c r="AK31" i="47"/>
  <c r="AJ32" i="47"/>
  <c r="AM4" i="47"/>
  <c r="AN3" i="47"/>
  <c r="AL8" i="47"/>
  <c r="AL16" i="47"/>
  <c r="AL9" i="47"/>
  <c r="AL5" i="47"/>
  <c r="AL18" i="47"/>
  <c r="AL14" i="47"/>
  <c r="AL10" i="47"/>
  <c r="AT24" i="53" l="1"/>
  <c r="AS24" i="53"/>
  <c r="AU24" i="53"/>
  <c r="AR24" i="53"/>
  <c r="AV24" i="53" s="1"/>
  <c r="AS6" i="53"/>
  <c r="AR6" i="53"/>
  <c r="AU6" i="53"/>
  <c r="AT6" i="53"/>
  <c r="AR16" i="53"/>
  <c r="AT16" i="53"/>
  <c r="AU16" i="53"/>
  <c r="AS16" i="53"/>
  <c r="AV9" i="53"/>
  <c r="AR15" i="53"/>
  <c r="AT15" i="53"/>
  <c r="AS15" i="53"/>
  <c r="AU15" i="53"/>
  <c r="AU22" i="53"/>
  <c r="AT22" i="53"/>
  <c r="AR22" i="53"/>
  <c r="AS22" i="53"/>
  <c r="AU7" i="53"/>
  <c r="AR7" i="53"/>
  <c r="AS7" i="53"/>
  <c r="AT7" i="53"/>
  <c r="AQ24" i="7"/>
  <c r="AQ25" i="7"/>
  <c r="AP24" i="7"/>
  <c r="AP25" i="7"/>
  <c r="AQ23" i="7"/>
  <c r="AQ22" i="7"/>
  <c r="AQ7" i="7"/>
  <c r="AP22" i="7"/>
  <c r="AP23" i="7"/>
  <c r="AP7" i="7"/>
  <c r="AV9" i="52"/>
  <c r="AV10" i="52"/>
  <c r="AV22" i="52"/>
  <c r="AV23" i="52"/>
  <c r="AV7" i="52"/>
  <c r="AV6" i="52"/>
  <c r="AV15" i="52"/>
  <c r="AV12" i="52"/>
  <c r="AR5" i="53"/>
  <c r="AU5" i="53"/>
  <c r="AT5" i="53"/>
  <c r="AS5" i="53"/>
  <c r="AP10" i="7"/>
  <c r="AQ10" i="7"/>
  <c r="AT10" i="50"/>
  <c r="AS10" i="50"/>
  <c r="AU10" i="50"/>
  <c r="AR10" i="50"/>
  <c r="AV10" i="50" s="1"/>
  <c r="AS12" i="50"/>
  <c r="AT12" i="50"/>
  <c r="AR12" i="50"/>
  <c r="AU12" i="50"/>
  <c r="AR17" i="50"/>
  <c r="AS17" i="50"/>
  <c r="AT17" i="50"/>
  <c r="AU17" i="50"/>
  <c r="AT19" i="50"/>
  <c r="AU19" i="50"/>
  <c r="AS19" i="50"/>
  <c r="AR19" i="50"/>
  <c r="AV19" i="50" s="1"/>
  <c r="AS14" i="50"/>
  <c r="AT14" i="50"/>
  <c r="AU14" i="50"/>
  <c r="AR14" i="50"/>
  <c r="AR7" i="50"/>
  <c r="AS7" i="50"/>
  <c r="AU7" i="50"/>
  <c r="AT7" i="50"/>
  <c r="AR8" i="50"/>
  <c r="AU8" i="50"/>
  <c r="AT8" i="50"/>
  <c r="AS8" i="50"/>
  <c r="AR25" i="50"/>
  <c r="AS25" i="50"/>
  <c r="AT25" i="50"/>
  <c r="AU25" i="50"/>
  <c r="AR6" i="50"/>
  <c r="AS6" i="50"/>
  <c r="AT6" i="50"/>
  <c r="AU6" i="50"/>
  <c r="AR18" i="50"/>
  <c r="AS18" i="50"/>
  <c r="AU18" i="50"/>
  <c r="AT18" i="50"/>
  <c r="AP29" i="53"/>
  <c r="AP30" i="53" s="1"/>
  <c r="AP33" i="53"/>
  <c r="AP31" i="53"/>
  <c r="AQ29" i="53"/>
  <c r="AQ32" i="53" s="1"/>
  <c r="AQ33" i="53"/>
  <c r="AQ31" i="53"/>
  <c r="AO32" i="53"/>
  <c r="AV32" i="52"/>
  <c r="AR28" i="52"/>
  <c r="AS28" i="52"/>
  <c r="AQ29" i="52"/>
  <c r="AV29" i="52" s="1"/>
  <c r="AV28" i="52"/>
  <c r="AY29" i="52" s="1"/>
  <c r="AX29" i="52"/>
  <c r="AU28" i="52"/>
  <c r="AV5" i="52"/>
  <c r="AT28" i="52"/>
  <c r="AU32" i="52"/>
  <c r="AU31" i="52"/>
  <c r="AU30" i="52"/>
  <c r="AR32" i="52"/>
  <c r="AR31" i="52"/>
  <c r="AR30" i="52"/>
  <c r="AT32" i="52"/>
  <c r="AT31" i="52"/>
  <c r="AT30" i="52"/>
  <c r="AS32" i="52"/>
  <c r="AS31" i="52"/>
  <c r="AS30" i="52"/>
  <c r="AP31" i="52"/>
  <c r="AV30" i="52"/>
  <c r="AQ31" i="52"/>
  <c r="AO27" i="7"/>
  <c r="AO28" i="7" s="1"/>
  <c r="AO31" i="7"/>
  <c r="AO29" i="7"/>
  <c r="AN30" i="7"/>
  <c r="AQ9" i="7"/>
  <c r="AQ12" i="7"/>
  <c r="AQ17" i="7"/>
  <c r="AQ6" i="7"/>
  <c r="AQ5" i="7"/>
  <c r="AP9" i="7"/>
  <c r="AP17" i="7"/>
  <c r="AP6" i="7"/>
  <c r="AP5" i="7"/>
  <c r="AT20" i="49"/>
  <c r="AS20" i="49"/>
  <c r="AU20" i="49"/>
  <c r="AR20" i="49"/>
  <c r="AP21" i="48"/>
  <c r="AP22" i="48"/>
  <c r="AQ21" i="48"/>
  <c r="AQ22" i="48"/>
  <c r="AP21" i="49"/>
  <c r="AQ21" i="49"/>
  <c r="AP29" i="50"/>
  <c r="AP30" i="50" s="1"/>
  <c r="AP33" i="50"/>
  <c r="AP31" i="50"/>
  <c r="AQ33" i="50"/>
  <c r="AQ31" i="50"/>
  <c r="AQ29" i="50"/>
  <c r="AQ32" i="50" s="1"/>
  <c r="AT5" i="50"/>
  <c r="AR5" i="50"/>
  <c r="AU5" i="50"/>
  <c r="AS5" i="50"/>
  <c r="AO32" i="50"/>
  <c r="AN34" i="49"/>
  <c r="AP14" i="49"/>
  <c r="AP10" i="49"/>
  <c r="AP5" i="49"/>
  <c r="AP6" i="49"/>
  <c r="AP8" i="49"/>
  <c r="AP7" i="49"/>
  <c r="AP19" i="49"/>
  <c r="AO31" i="49"/>
  <c r="AO32" i="49" s="1"/>
  <c r="AO35" i="49"/>
  <c r="AO33" i="49"/>
  <c r="AQ13" i="49"/>
  <c r="AQ12" i="49"/>
  <c r="AQ14" i="49"/>
  <c r="AQ10" i="49"/>
  <c r="AQ5" i="49"/>
  <c r="AQ8" i="49"/>
  <c r="AQ6" i="49"/>
  <c r="AQ18" i="49"/>
  <c r="AQ19" i="49"/>
  <c r="AQ7" i="49"/>
  <c r="AP17" i="48"/>
  <c r="AP5" i="48"/>
  <c r="AP10" i="48"/>
  <c r="AP15" i="48"/>
  <c r="AP20" i="48"/>
  <c r="AP19" i="48"/>
  <c r="AP8" i="48"/>
  <c r="AP13" i="48"/>
  <c r="AP9" i="48"/>
  <c r="AQ16" i="48"/>
  <c r="AQ15" i="48"/>
  <c r="AQ10" i="48"/>
  <c r="AQ20" i="48"/>
  <c r="AQ19" i="48"/>
  <c r="AQ8" i="48"/>
  <c r="AQ17" i="48"/>
  <c r="AQ13" i="48"/>
  <c r="AQ9" i="48"/>
  <c r="AQ5" i="48"/>
  <c r="AN31" i="48"/>
  <c r="AO28" i="48"/>
  <c r="AO29" i="48" s="1"/>
  <c r="AO32" i="48"/>
  <c r="AO30" i="48"/>
  <c r="AM26" i="47"/>
  <c r="AM21" i="47"/>
  <c r="AM11" i="47"/>
  <c r="AN4" i="47"/>
  <c r="AO3" i="47"/>
  <c r="AM16" i="47"/>
  <c r="AM5" i="47"/>
  <c r="AM9" i="47"/>
  <c r="AM18" i="47"/>
  <c r="AM14" i="47"/>
  <c r="AM10" i="47"/>
  <c r="AM8" i="47"/>
  <c r="AK32" i="47"/>
  <c r="AL29" i="47"/>
  <c r="AL30" i="47" s="1"/>
  <c r="AL33" i="47"/>
  <c r="AL31" i="47"/>
  <c r="AV16" i="53" l="1"/>
  <c r="AV6" i="53"/>
  <c r="AV7" i="53"/>
  <c r="AV22" i="53"/>
  <c r="AV15" i="53"/>
  <c r="AT25" i="7"/>
  <c r="AS25" i="7"/>
  <c r="AU25" i="7"/>
  <c r="AR25" i="7"/>
  <c r="AV25" i="7" s="1"/>
  <c r="AV5" i="53"/>
  <c r="AS23" i="7"/>
  <c r="AR23" i="7"/>
  <c r="AT23" i="7"/>
  <c r="AU23" i="7"/>
  <c r="AV17" i="50"/>
  <c r="AV12" i="50"/>
  <c r="AV14" i="50"/>
  <c r="AV18" i="50"/>
  <c r="AV20" i="49"/>
  <c r="AV6" i="50"/>
  <c r="AV7" i="50"/>
  <c r="AV25" i="50"/>
  <c r="AV8" i="50"/>
  <c r="AV31" i="53"/>
  <c r="AV33" i="53"/>
  <c r="AU29" i="53"/>
  <c r="AS29" i="53"/>
  <c r="AQ30" i="53"/>
  <c r="AV30" i="53" s="1"/>
  <c r="AX30" i="53"/>
  <c r="AV29" i="53"/>
  <c r="AY30" i="53" s="1"/>
  <c r="AR29" i="53"/>
  <c r="AT29" i="53"/>
  <c r="AT33" i="53"/>
  <c r="AT32" i="53"/>
  <c r="AT31" i="53"/>
  <c r="AS33" i="53"/>
  <c r="AS32" i="53"/>
  <c r="AS31" i="53"/>
  <c r="AU33" i="53"/>
  <c r="AU32" i="53"/>
  <c r="AU31" i="53"/>
  <c r="AR33" i="53"/>
  <c r="AR32" i="53"/>
  <c r="AR31" i="53"/>
  <c r="AP32" i="53"/>
  <c r="AV32" i="53" s="1"/>
  <c r="AV31" i="52"/>
  <c r="AT10" i="7"/>
  <c r="AR10" i="7"/>
  <c r="AU10" i="7"/>
  <c r="AS10" i="7"/>
  <c r="AS12" i="7"/>
  <c r="AR12" i="7"/>
  <c r="AT12" i="7"/>
  <c r="AU12" i="7"/>
  <c r="AP27" i="7"/>
  <c r="AP28" i="7" s="1"/>
  <c r="AP31" i="7"/>
  <c r="AP29" i="7"/>
  <c r="AS9" i="7"/>
  <c r="AR9" i="7"/>
  <c r="AU9" i="7"/>
  <c r="AT9" i="7"/>
  <c r="AS7" i="7"/>
  <c r="AU7" i="7"/>
  <c r="AR7" i="7"/>
  <c r="AT7" i="7"/>
  <c r="AT17" i="7"/>
  <c r="AU17" i="7"/>
  <c r="AR17" i="7"/>
  <c r="AS17" i="7"/>
  <c r="AQ27" i="7"/>
  <c r="AQ30" i="7" s="1"/>
  <c r="AQ31" i="7"/>
  <c r="AQ29" i="7"/>
  <c r="AV29" i="7" s="1"/>
  <c r="AO30" i="7"/>
  <c r="AU5" i="7"/>
  <c r="AS5" i="7"/>
  <c r="AR5" i="7"/>
  <c r="AT5" i="7"/>
  <c r="AT6" i="7"/>
  <c r="AS6" i="7"/>
  <c r="AU6" i="7"/>
  <c r="AR6" i="7"/>
  <c r="AU21" i="49"/>
  <c r="AR21" i="49"/>
  <c r="AS21" i="49"/>
  <c r="AT21" i="49"/>
  <c r="AR13" i="49"/>
  <c r="AS13" i="49"/>
  <c r="AT13" i="49"/>
  <c r="AU13" i="49"/>
  <c r="AT19" i="49"/>
  <c r="AR19" i="49"/>
  <c r="AU19" i="49"/>
  <c r="AS19" i="49"/>
  <c r="AS10" i="49"/>
  <c r="AR10" i="49"/>
  <c r="AU10" i="49"/>
  <c r="AT10" i="49"/>
  <c r="AR14" i="49"/>
  <c r="AU14" i="49"/>
  <c r="AT14" i="49"/>
  <c r="AS14" i="49"/>
  <c r="AT12" i="49"/>
  <c r="AR12" i="49"/>
  <c r="AU12" i="49"/>
  <c r="AS12" i="49"/>
  <c r="AT18" i="49"/>
  <c r="AU18" i="49"/>
  <c r="AR18" i="49"/>
  <c r="AS18" i="49"/>
  <c r="AR8" i="49"/>
  <c r="AT8" i="49"/>
  <c r="AS8" i="49"/>
  <c r="AU8" i="49"/>
  <c r="AU6" i="49"/>
  <c r="AT6" i="49"/>
  <c r="AS6" i="49"/>
  <c r="AR6" i="49"/>
  <c r="AR7" i="49"/>
  <c r="AU7" i="49"/>
  <c r="AT7" i="49"/>
  <c r="AS7" i="49"/>
  <c r="AV5" i="50"/>
  <c r="AV31" i="50"/>
  <c r="AV33" i="50"/>
  <c r="AU11" i="48"/>
  <c r="AT11" i="48"/>
  <c r="AS11" i="48"/>
  <c r="AR11" i="48"/>
  <c r="AS10" i="48"/>
  <c r="AU10" i="48"/>
  <c r="AR10" i="48"/>
  <c r="AT10" i="48"/>
  <c r="AS15" i="48"/>
  <c r="AU15" i="48"/>
  <c r="AT15" i="48"/>
  <c r="AR15" i="48"/>
  <c r="AR16" i="48"/>
  <c r="AS16" i="48"/>
  <c r="AU16" i="48"/>
  <c r="AT16" i="48"/>
  <c r="AS22" i="48"/>
  <c r="AR22" i="48"/>
  <c r="AT22" i="48"/>
  <c r="AU22" i="48"/>
  <c r="AU17" i="48"/>
  <c r="AS17" i="48"/>
  <c r="AT17" i="48"/>
  <c r="AR17" i="48"/>
  <c r="AR19" i="48"/>
  <c r="AU19" i="48"/>
  <c r="AT19" i="48"/>
  <c r="AS19" i="48"/>
  <c r="AR21" i="48"/>
  <c r="AS21" i="48"/>
  <c r="AU21" i="48"/>
  <c r="AT21" i="48"/>
  <c r="AR8" i="48"/>
  <c r="AS8" i="48"/>
  <c r="AU8" i="48"/>
  <c r="AT8" i="48"/>
  <c r="AR13" i="48"/>
  <c r="AS13" i="48"/>
  <c r="AU13" i="48"/>
  <c r="AT13" i="48"/>
  <c r="AS20" i="48"/>
  <c r="AT20" i="48"/>
  <c r="AU20" i="48"/>
  <c r="AR20" i="48"/>
  <c r="AR9" i="48"/>
  <c r="AU9" i="48"/>
  <c r="AS9" i="48"/>
  <c r="AT9" i="48"/>
  <c r="AS29" i="50"/>
  <c r="AQ30" i="50"/>
  <c r="AV30" i="50" s="1"/>
  <c r="AV29" i="50"/>
  <c r="AY30" i="50" s="1"/>
  <c r="AX30" i="50"/>
  <c r="AP32" i="50"/>
  <c r="AV32" i="50" s="1"/>
  <c r="AS33" i="50"/>
  <c r="AS31" i="50"/>
  <c r="AS32" i="50"/>
  <c r="AU33" i="50"/>
  <c r="AU32" i="50"/>
  <c r="AU31" i="50"/>
  <c r="AT29" i="50"/>
  <c r="AR33" i="50"/>
  <c r="AR31" i="50"/>
  <c r="AR32" i="50"/>
  <c r="AU29" i="50"/>
  <c r="AT33" i="50"/>
  <c r="AT31" i="50"/>
  <c r="AT32" i="50"/>
  <c r="AR29" i="50"/>
  <c r="AP31" i="49"/>
  <c r="AP32" i="49" s="1"/>
  <c r="AP35" i="49"/>
  <c r="AP33" i="49"/>
  <c r="AO34" i="49"/>
  <c r="AR5" i="49"/>
  <c r="AS5" i="49"/>
  <c r="AT5" i="49"/>
  <c r="AU5" i="49"/>
  <c r="AO31" i="48"/>
  <c r="AQ28" i="48"/>
  <c r="AQ31" i="48" s="1"/>
  <c r="AQ32" i="48"/>
  <c r="AQ30" i="48"/>
  <c r="AT5" i="48"/>
  <c r="AR5" i="48"/>
  <c r="AU5" i="48"/>
  <c r="AS5" i="48"/>
  <c r="AP28" i="48"/>
  <c r="AP29" i="48" s="1"/>
  <c r="AP32" i="48"/>
  <c r="AP30" i="48"/>
  <c r="AN26" i="47"/>
  <c r="AN21" i="47"/>
  <c r="AN11" i="47"/>
  <c r="AM29" i="47"/>
  <c r="AM30" i="47" s="1"/>
  <c r="AM33" i="47"/>
  <c r="AM31" i="47"/>
  <c r="AL32" i="47"/>
  <c r="AO4" i="47"/>
  <c r="AO26" i="47" s="1"/>
  <c r="AP3" i="47"/>
  <c r="AN16" i="47"/>
  <c r="AN5" i="47"/>
  <c r="AN18" i="47"/>
  <c r="AN14" i="47"/>
  <c r="AN10" i="47"/>
  <c r="AN8" i="47"/>
  <c r="AV23" i="7" l="1"/>
  <c r="AV31" i="7"/>
  <c r="AV6" i="7"/>
  <c r="AV9" i="7"/>
  <c r="AV17" i="7"/>
  <c r="AT27" i="7"/>
  <c r="AV7" i="7"/>
  <c r="AV12" i="7"/>
  <c r="AS27" i="7"/>
  <c r="AV10" i="7"/>
  <c r="AS31" i="7"/>
  <c r="AS30" i="7"/>
  <c r="AS29" i="7"/>
  <c r="AT31" i="7"/>
  <c r="AT30" i="7"/>
  <c r="AT29" i="7"/>
  <c r="AU31" i="7"/>
  <c r="AU30" i="7"/>
  <c r="AU29" i="7"/>
  <c r="AR27" i="7"/>
  <c r="AQ28" i="7"/>
  <c r="AV28" i="7" s="1"/>
  <c r="AX28" i="7"/>
  <c r="AV27" i="7"/>
  <c r="AY28" i="7" s="1"/>
  <c r="AR31" i="7"/>
  <c r="AR30" i="7"/>
  <c r="AR29" i="7"/>
  <c r="AV5" i="7"/>
  <c r="AU27" i="7"/>
  <c r="AP30" i="7"/>
  <c r="AV30" i="7" s="1"/>
  <c r="AV10" i="49"/>
  <c r="AV14" i="49"/>
  <c r="AV19" i="49"/>
  <c r="AV13" i="49"/>
  <c r="AV18" i="49"/>
  <c r="AV21" i="49"/>
  <c r="AV12" i="49"/>
  <c r="AV7" i="49"/>
  <c r="AV6" i="49"/>
  <c r="AV8" i="49"/>
  <c r="AV21" i="48"/>
  <c r="AV20" i="48"/>
  <c r="AV11" i="48"/>
  <c r="AV5" i="49"/>
  <c r="AV15" i="48"/>
  <c r="AV9" i="48"/>
  <c r="AV19" i="48"/>
  <c r="AV17" i="48"/>
  <c r="AV8" i="48"/>
  <c r="AV10" i="48"/>
  <c r="AV22" i="48"/>
  <c r="AV13" i="48"/>
  <c r="AV16" i="48"/>
  <c r="AT35" i="49"/>
  <c r="AT33" i="49"/>
  <c r="AU35" i="49"/>
  <c r="AU33" i="49"/>
  <c r="AR35" i="49"/>
  <c r="AR33" i="49"/>
  <c r="AS35" i="49"/>
  <c r="AS33" i="49"/>
  <c r="AP34" i="49"/>
  <c r="AV32" i="48"/>
  <c r="AR32" i="48"/>
  <c r="AR31" i="48"/>
  <c r="AR30" i="48"/>
  <c r="AV5" i="48"/>
  <c r="AV30" i="48"/>
  <c r="AT32" i="48"/>
  <c r="AT31" i="48"/>
  <c r="AT30" i="48"/>
  <c r="AQ29" i="48"/>
  <c r="AV29" i="48" s="1"/>
  <c r="AX29" i="48"/>
  <c r="AV28" i="48"/>
  <c r="AY29" i="48" s="1"/>
  <c r="AP31" i="48"/>
  <c r="AV31" i="48" s="1"/>
  <c r="AT28" i="48"/>
  <c r="AR28" i="48"/>
  <c r="AU28" i="48"/>
  <c r="AU32" i="48"/>
  <c r="AU31" i="48"/>
  <c r="AU30" i="48"/>
  <c r="AS32" i="48"/>
  <c r="AS31" i="48"/>
  <c r="AS30" i="48"/>
  <c r="AS28" i="48"/>
  <c r="AO21" i="47"/>
  <c r="AO11" i="47"/>
  <c r="AO12" i="47"/>
  <c r="AN29" i="47"/>
  <c r="AN30" i="47" s="1"/>
  <c r="AN33" i="47"/>
  <c r="AN31" i="47"/>
  <c r="AP4" i="47"/>
  <c r="AP26" i="47" s="1"/>
  <c r="AQ3" i="47"/>
  <c r="AQ4" i="47" s="1"/>
  <c r="AQ26" i="47" s="1"/>
  <c r="AO17" i="47"/>
  <c r="AO16" i="47"/>
  <c r="AO9" i="47"/>
  <c r="AO18" i="47"/>
  <c r="AO14" i="47"/>
  <c r="AO10" i="47"/>
  <c r="AO5" i="47"/>
  <c r="AO8" i="47"/>
  <c r="AM32" i="47"/>
  <c r="AS26" i="47" l="1"/>
  <c r="AR26" i="47"/>
  <c r="AT26" i="47"/>
  <c r="AU26" i="47"/>
  <c r="AQ21" i="47"/>
  <c r="AP21" i="47"/>
  <c r="AQ11" i="47"/>
  <c r="AQ12" i="47"/>
  <c r="AP11" i="47"/>
  <c r="AP12" i="47"/>
  <c r="AQ9" i="47"/>
  <c r="AQ5" i="47"/>
  <c r="AQ10" i="47"/>
  <c r="AQ18" i="47"/>
  <c r="AQ8" i="47"/>
  <c r="AQ14" i="47"/>
  <c r="AQ17" i="47"/>
  <c r="AQ16" i="47"/>
  <c r="AP17" i="47"/>
  <c r="AR17" i="47" s="1"/>
  <c r="AP16" i="47"/>
  <c r="AP9" i="47"/>
  <c r="AP5" i="47"/>
  <c r="AP18" i="47"/>
  <c r="AP14" i="47"/>
  <c r="AP10" i="47"/>
  <c r="AP8" i="47"/>
  <c r="AN32" i="47"/>
  <c r="AO29" i="47"/>
  <c r="AO30" i="47" s="1"/>
  <c r="AO33" i="47"/>
  <c r="AO31" i="47"/>
  <c r="AT21" i="47" l="1"/>
  <c r="AU21" i="47"/>
  <c r="AR21" i="47"/>
  <c r="AV21" i="47" s="1"/>
  <c r="AS21" i="47"/>
  <c r="AV26" i="47"/>
  <c r="AT10" i="47"/>
  <c r="AS10" i="47"/>
  <c r="AU10" i="47"/>
  <c r="AR10" i="47"/>
  <c r="AV10" i="47" s="1"/>
  <c r="AR18" i="47"/>
  <c r="AU18" i="47"/>
  <c r="AT18" i="47"/>
  <c r="AS18" i="47"/>
  <c r="AT16" i="47"/>
  <c r="AU16" i="47"/>
  <c r="AS16" i="47"/>
  <c r="AR16" i="47"/>
  <c r="AU17" i="47"/>
  <c r="AR11" i="47"/>
  <c r="AU11" i="47"/>
  <c r="AT11" i="47"/>
  <c r="AS11" i="47"/>
  <c r="AT17" i="47"/>
  <c r="AT14" i="47"/>
  <c r="AU14" i="47"/>
  <c r="AR14" i="47"/>
  <c r="AS14" i="47"/>
  <c r="AS17" i="47"/>
  <c r="AR9" i="47"/>
  <c r="AS9" i="47"/>
  <c r="AU9" i="47"/>
  <c r="AT9" i="47"/>
  <c r="AR8" i="47"/>
  <c r="AT8" i="47"/>
  <c r="AS8" i="47"/>
  <c r="AU8" i="47"/>
  <c r="AS12" i="47"/>
  <c r="AT12" i="47"/>
  <c r="AR12" i="47"/>
  <c r="AU12" i="47"/>
  <c r="AO32" i="47"/>
  <c r="AP29" i="47"/>
  <c r="AP30" i="47" s="1"/>
  <c r="AP33" i="47"/>
  <c r="AP31" i="47"/>
  <c r="AQ29" i="47"/>
  <c r="AQ32" i="47" s="1"/>
  <c r="AQ33" i="47"/>
  <c r="AQ31" i="47"/>
  <c r="AT5" i="47"/>
  <c r="AU5" i="47"/>
  <c r="AR5" i="47"/>
  <c r="AS5" i="47"/>
  <c r="AV17" i="47" l="1"/>
  <c r="AV18" i="47"/>
  <c r="AV8" i="47"/>
  <c r="AV11" i="47"/>
  <c r="AV9" i="47"/>
  <c r="AV16" i="47"/>
  <c r="AV12" i="47"/>
  <c r="AV14" i="47"/>
  <c r="AT29" i="47"/>
  <c r="AS29" i="47"/>
  <c r="AV31" i="47"/>
  <c r="AV33" i="47"/>
  <c r="AR33" i="47"/>
  <c r="AR32" i="47"/>
  <c r="AR31" i="47"/>
  <c r="AT33" i="47"/>
  <c r="AT32" i="47"/>
  <c r="AT31" i="47"/>
  <c r="AV5" i="47"/>
  <c r="AS33" i="47"/>
  <c r="AS32" i="47"/>
  <c r="AS31" i="47"/>
  <c r="AQ30" i="47"/>
  <c r="AV30" i="47" s="1"/>
  <c r="AV29" i="47"/>
  <c r="AY30" i="47" s="1"/>
  <c r="AX30" i="47"/>
  <c r="AU29" i="47"/>
  <c r="AR29" i="47"/>
  <c r="AP32" i="47"/>
  <c r="AV32" i="47" s="1"/>
  <c r="AU33" i="47"/>
  <c r="AU32" i="47"/>
  <c r="AU31" i="47"/>
  <c r="D45" i="1" l="1"/>
  <c r="D90" i="1"/>
  <c r="D89" i="1" l="1"/>
  <c r="D88" i="1" l="1"/>
  <c r="Z2" i="1"/>
  <c r="D87" i="1"/>
  <c r="D86" i="1"/>
  <c r="D85" i="1"/>
  <c r="L2" i="1"/>
  <c r="D84" i="1"/>
  <c r="D76" i="1"/>
  <c r="D71" i="1"/>
  <c r="D61" i="1"/>
  <c r="D56" i="1"/>
  <c r="W35" i="1"/>
  <c r="V35" i="1"/>
  <c r="U35" i="1"/>
  <c r="T35" i="1"/>
  <c r="S35" i="1"/>
  <c r="R35" i="1"/>
  <c r="Q35" i="1"/>
  <c r="P35" i="1"/>
  <c r="O35" i="1"/>
  <c r="N35" i="1"/>
  <c r="M35" i="1"/>
  <c r="L35" i="1"/>
  <c r="N2" i="1"/>
  <c r="M2" i="1"/>
  <c r="O2" i="1"/>
  <c r="P2" i="1"/>
  <c r="Q2" i="1"/>
  <c r="R2" i="1"/>
  <c r="S2" i="1"/>
  <c r="T2" i="1"/>
  <c r="U2" i="1"/>
  <c r="V2" i="1"/>
  <c r="W2" i="1"/>
  <c r="D8" i="1"/>
  <c r="D12" i="1"/>
  <c r="D14" i="1"/>
  <c r="D15" i="1"/>
  <c r="D16" i="1"/>
  <c r="D17" i="1"/>
  <c r="D27" i="1"/>
  <c r="AQ33" i="49" l="1"/>
  <c r="AV33" i="49" s="1"/>
  <c r="AR31" i="49"/>
  <c r="AR34" i="49"/>
  <c r="AU31" i="49"/>
  <c r="AU34" i="49"/>
  <c r="AT31" i="49"/>
  <c r="AT34" i="49"/>
  <c r="AQ35" i="49"/>
  <c r="AV35" i="49" s="1"/>
  <c r="AQ31" i="49"/>
  <c r="AX32" i="49" s="1"/>
  <c r="AS31" i="49"/>
  <c r="AS34" i="49"/>
  <c r="AV31" i="49" l="1"/>
  <c r="AY32" i="49" s="1"/>
  <c r="AQ34" i="49"/>
  <c r="AV34" i="49" s="1"/>
  <c r="AQ32" i="49"/>
  <c r="AV32" i="49" s="1"/>
  <c r="AQ34" i="54"/>
  <c r="AV34" i="54" s="1"/>
  <c r="AQ30" i="54"/>
  <c r="AX31" i="54" s="1"/>
  <c r="AS30" i="54"/>
  <c r="AS33" i="54"/>
  <c r="AR33" i="54"/>
  <c r="AR30" i="54"/>
  <c r="AU30" i="54"/>
  <c r="AU33" i="54"/>
  <c r="AQ32" i="54"/>
  <c r="AV32" i="54" s="1"/>
  <c r="AT33" i="54"/>
  <c r="AT30" i="54"/>
  <c r="AQ31" i="54" l="1"/>
  <c r="AV31" i="54" s="1"/>
  <c r="AV30" i="54"/>
  <c r="AY31" i="54" s="1"/>
  <c r="AQ33" i="54"/>
  <c r="AV33" i="54" s="1"/>
</calcChain>
</file>

<file path=xl/sharedStrings.xml><?xml version="1.0" encoding="utf-8"?>
<sst xmlns="http://schemas.openxmlformats.org/spreadsheetml/2006/main" count="3156" uniqueCount="547">
  <si>
    <t>氏名</t>
    <rPh sb="0" eb="2">
      <t>シメイ</t>
    </rPh>
    <phoneticPr fontId="1"/>
  </si>
  <si>
    <t>生年月日</t>
    <rPh sb="0" eb="4">
      <t>セイネンガッピ</t>
    </rPh>
    <phoneticPr fontId="1"/>
  </si>
  <si>
    <t>年齢</t>
    <rPh sb="0" eb="2">
      <t>ネンレイ</t>
    </rPh>
    <phoneticPr fontId="1"/>
  </si>
  <si>
    <t>性別</t>
    <rPh sb="0" eb="2">
      <t>セイベツ</t>
    </rPh>
    <phoneticPr fontId="1"/>
  </si>
  <si>
    <t>介護度</t>
    <rPh sb="0" eb="3">
      <t>カイゴド</t>
    </rPh>
    <phoneticPr fontId="1"/>
  </si>
  <si>
    <t>有効期限</t>
    <rPh sb="0" eb="4">
      <t>ユウコウキゲン</t>
    </rPh>
    <phoneticPr fontId="1"/>
  </si>
  <si>
    <t>入所日</t>
    <rPh sb="0" eb="3">
      <t>ニュウショビ</t>
    </rPh>
    <phoneticPr fontId="1"/>
  </si>
  <si>
    <t>保険者</t>
    <rPh sb="0" eb="3">
      <t>ホケンジャ</t>
    </rPh>
    <phoneticPr fontId="1"/>
  </si>
  <si>
    <t>キーパーソン</t>
    <phoneticPr fontId="1"/>
  </si>
  <si>
    <t>電話番号</t>
    <rPh sb="0" eb="2">
      <t>デンワ</t>
    </rPh>
    <rPh sb="2" eb="4">
      <t>バンゴウ</t>
    </rPh>
    <phoneticPr fontId="1"/>
  </si>
  <si>
    <t>喜屋武　永信</t>
    <rPh sb="0" eb="3">
      <t>キャン</t>
    </rPh>
    <rPh sb="4" eb="6">
      <t>エイシン</t>
    </rPh>
    <phoneticPr fontId="1"/>
  </si>
  <si>
    <t>男</t>
    <rPh sb="0" eb="1">
      <t>オトコ</t>
    </rPh>
    <phoneticPr fontId="1"/>
  </si>
  <si>
    <t>喜屋武　由美子(嫁)</t>
    <rPh sb="0" eb="3">
      <t>キャン</t>
    </rPh>
    <rPh sb="4" eb="7">
      <t>ユミコ</t>
    </rPh>
    <rPh sb="8" eb="9">
      <t>ヨメ</t>
    </rPh>
    <phoneticPr fontId="1"/>
  </si>
  <si>
    <r>
      <t>翁長　朝一</t>
    </r>
    <r>
      <rPr>
        <sz val="11"/>
        <color rgb="FFFF0000"/>
        <rFont val="游ゴシック"/>
        <family val="3"/>
        <charset val="128"/>
        <scheme val="minor"/>
      </rPr>
      <t>H</t>
    </r>
    <rPh sb="0" eb="2">
      <t>オナガ</t>
    </rPh>
    <rPh sb="3" eb="4">
      <t>アサ</t>
    </rPh>
    <rPh sb="4" eb="5">
      <t>イチ</t>
    </rPh>
    <phoneticPr fontId="1"/>
  </si>
  <si>
    <t>糸満</t>
    <rPh sb="0" eb="2">
      <t>イトマン</t>
    </rPh>
    <phoneticPr fontId="1"/>
  </si>
  <si>
    <t>翁長　英樹（長男）</t>
    <rPh sb="0" eb="2">
      <t>オナガ</t>
    </rPh>
    <rPh sb="3" eb="5">
      <t>ヒデキ</t>
    </rPh>
    <rPh sb="6" eb="8">
      <t>チョウナン</t>
    </rPh>
    <phoneticPr fontId="1"/>
  </si>
  <si>
    <t>大城　兼一</t>
    <rPh sb="0" eb="2">
      <t>オオシロ</t>
    </rPh>
    <rPh sb="3" eb="5">
      <t>ケンイチ</t>
    </rPh>
    <phoneticPr fontId="1"/>
  </si>
  <si>
    <t>南風原</t>
    <rPh sb="0" eb="3">
      <t>ハエバル</t>
    </rPh>
    <phoneticPr fontId="1"/>
  </si>
  <si>
    <t>大城　キヨ子（妻）</t>
    <rPh sb="0" eb="2">
      <t>オオシロ</t>
    </rPh>
    <rPh sb="5" eb="6">
      <t>コ</t>
    </rPh>
    <rPh sb="7" eb="8">
      <t>ツマ</t>
    </rPh>
    <phoneticPr fontId="1"/>
  </si>
  <si>
    <t>090-7929-9699</t>
    <phoneticPr fontId="1"/>
  </si>
  <si>
    <t>994-4076</t>
    <phoneticPr fontId="1"/>
  </si>
  <si>
    <t>屋富祖　幸文</t>
    <rPh sb="0" eb="3">
      <t>ヤフソ</t>
    </rPh>
    <rPh sb="4" eb="5">
      <t>サチ</t>
    </rPh>
    <rPh sb="5" eb="6">
      <t>フミ</t>
    </rPh>
    <phoneticPr fontId="1"/>
  </si>
  <si>
    <t>比屋根　千明(次女)</t>
    <rPh sb="0" eb="3">
      <t>ヒヤネ</t>
    </rPh>
    <rPh sb="4" eb="6">
      <t>チアキ</t>
    </rPh>
    <rPh sb="7" eb="9">
      <t>ジジョ</t>
    </rPh>
    <phoneticPr fontId="1"/>
  </si>
  <si>
    <t>石川　幸吉</t>
    <rPh sb="0" eb="2">
      <t>イシカワ</t>
    </rPh>
    <rPh sb="3" eb="5">
      <t>コウキチ</t>
    </rPh>
    <phoneticPr fontId="1"/>
  </si>
  <si>
    <t>石川　幸一(子）</t>
    <rPh sb="0" eb="2">
      <t>イシカワ</t>
    </rPh>
    <rPh sb="3" eb="4">
      <t>サチ</t>
    </rPh>
    <rPh sb="4" eb="5">
      <t>イチ</t>
    </rPh>
    <rPh sb="6" eb="7">
      <t>コ</t>
    </rPh>
    <phoneticPr fontId="1"/>
  </si>
  <si>
    <t>070-8981-7066</t>
    <phoneticPr fontId="1"/>
  </si>
  <si>
    <t>久保田　重正</t>
    <rPh sb="0" eb="3">
      <t>クボタ</t>
    </rPh>
    <rPh sb="4" eb="6">
      <t>シゲマサ</t>
    </rPh>
    <phoneticPr fontId="1"/>
  </si>
  <si>
    <t>久保田智枝子(妻)</t>
    <rPh sb="0" eb="3">
      <t>クボタ</t>
    </rPh>
    <rPh sb="3" eb="4">
      <t>サトシ</t>
    </rPh>
    <rPh sb="4" eb="5">
      <t>エ</t>
    </rPh>
    <rPh sb="5" eb="6">
      <t>コ</t>
    </rPh>
    <rPh sb="7" eb="8">
      <t>ツマ</t>
    </rPh>
    <phoneticPr fontId="1"/>
  </si>
  <si>
    <t>大仲　米子</t>
    <rPh sb="0" eb="2">
      <t>オオナカ</t>
    </rPh>
    <rPh sb="3" eb="5">
      <t>ヨネコ</t>
    </rPh>
    <phoneticPr fontId="1"/>
  </si>
  <si>
    <t>女</t>
    <rPh sb="0" eb="1">
      <t>オンナ</t>
    </rPh>
    <phoneticPr fontId="1"/>
  </si>
  <si>
    <t>大中　信孝（父）</t>
    <rPh sb="0" eb="2">
      <t>オオナカ</t>
    </rPh>
    <rPh sb="3" eb="5">
      <t>ノブタカ</t>
    </rPh>
    <rPh sb="6" eb="7">
      <t>チチ</t>
    </rPh>
    <phoneticPr fontId="1"/>
  </si>
  <si>
    <t>久手堅　ヨシ</t>
    <rPh sb="0" eb="3">
      <t>クデケン</t>
    </rPh>
    <phoneticPr fontId="1"/>
  </si>
  <si>
    <t>比屋根　由美子（三女）</t>
    <rPh sb="0" eb="3">
      <t>ヒヤネ</t>
    </rPh>
    <rPh sb="4" eb="7">
      <t>ユミコ</t>
    </rPh>
    <rPh sb="8" eb="10">
      <t>サンジョ</t>
    </rPh>
    <phoneticPr fontId="1"/>
  </si>
  <si>
    <r>
      <t xml:space="preserve">桃原　つや子 </t>
    </r>
    <r>
      <rPr>
        <sz val="11"/>
        <color rgb="FFFF0000"/>
        <rFont val="游ゴシック"/>
        <family val="3"/>
        <charset val="128"/>
        <scheme val="minor"/>
      </rPr>
      <t>H</t>
    </r>
    <rPh sb="0" eb="2">
      <t>トウバル</t>
    </rPh>
    <rPh sb="5" eb="6">
      <t>コ</t>
    </rPh>
    <phoneticPr fontId="1"/>
  </si>
  <si>
    <t>南城市</t>
    <rPh sb="0" eb="3">
      <t>ナンジョウシ</t>
    </rPh>
    <phoneticPr fontId="1"/>
  </si>
  <si>
    <t>伊波　照子（子）</t>
    <rPh sb="0" eb="2">
      <t>イハ</t>
    </rPh>
    <rPh sb="3" eb="5">
      <t>テルコ</t>
    </rPh>
    <rPh sb="6" eb="7">
      <t>コ</t>
    </rPh>
    <phoneticPr fontId="1"/>
  </si>
  <si>
    <t>090-5942-5376</t>
    <phoneticPr fontId="1"/>
  </si>
  <si>
    <t>古見　房子</t>
    <rPh sb="0" eb="2">
      <t>コミ</t>
    </rPh>
    <rPh sb="3" eb="5">
      <t>フサコ</t>
    </rPh>
    <phoneticPr fontId="1"/>
  </si>
  <si>
    <t>与那国</t>
    <rPh sb="0" eb="3">
      <t>ヨナグニ</t>
    </rPh>
    <phoneticPr fontId="1"/>
  </si>
  <si>
    <t>古見　るり子(長男嫁)</t>
    <rPh sb="0" eb="2">
      <t>コミ</t>
    </rPh>
    <rPh sb="5" eb="6">
      <t>コ</t>
    </rPh>
    <rPh sb="7" eb="9">
      <t>チョウナン</t>
    </rPh>
    <rPh sb="9" eb="10">
      <t>ヨメ</t>
    </rPh>
    <phoneticPr fontId="1"/>
  </si>
  <si>
    <t>外間　春子</t>
    <rPh sb="0" eb="2">
      <t>ホカマ</t>
    </rPh>
    <rPh sb="3" eb="5">
      <t>ハルコ</t>
    </rPh>
    <phoneticPr fontId="1"/>
  </si>
  <si>
    <t>八重瀬</t>
    <rPh sb="0" eb="3">
      <t>ヤエセ</t>
    </rPh>
    <phoneticPr fontId="1"/>
  </si>
  <si>
    <t>金城　美江子（長女）</t>
    <rPh sb="0" eb="2">
      <t>キンジョウ</t>
    </rPh>
    <rPh sb="3" eb="6">
      <t>ミエコ</t>
    </rPh>
    <rPh sb="7" eb="9">
      <t>チョウジョ</t>
    </rPh>
    <phoneticPr fontId="1"/>
  </si>
  <si>
    <t>090-7299-8300</t>
    <phoneticPr fontId="1"/>
  </si>
  <si>
    <t>仲座　シゲ</t>
    <rPh sb="0" eb="2">
      <t>ナカザ</t>
    </rPh>
    <phoneticPr fontId="1"/>
  </si>
  <si>
    <t>仲座　ミツ子(嫁)</t>
    <rPh sb="0" eb="2">
      <t>ナカザ</t>
    </rPh>
    <rPh sb="5" eb="6">
      <t>コ</t>
    </rPh>
    <rPh sb="7" eb="8">
      <t>ヨメ</t>
    </rPh>
    <phoneticPr fontId="1"/>
  </si>
  <si>
    <t>比嘉　豊</t>
    <rPh sb="0" eb="2">
      <t>ヒガ</t>
    </rPh>
    <rPh sb="3" eb="4">
      <t>トヨ</t>
    </rPh>
    <phoneticPr fontId="1"/>
  </si>
  <si>
    <t>豊見城</t>
    <rPh sb="0" eb="3">
      <t>トミシロ</t>
    </rPh>
    <phoneticPr fontId="1"/>
  </si>
  <si>
    <t>比嘉　正子（長女）</t>
    <phoneticPr fontId="1"/>
  </si>
  <si>
    <t>070-5494-2960</t>
    <phoneticPr fontId="1"/>
  </si>
  <si>
    <t>金城　ヨシ子</t>
    <rPh sb="0" eb="2">
      <t>キンジョウ</t>
    </rPh>
    <rPh sb="5" eb="6">
      <t>コ</t>
    </rPh>
    <phoneticPr fontId="1"/>
  </si>
  <si>
    <t>大城　キヨ子(娘)</t>
    <rPh sb="0" eb="2">
      <t>オオシロ</t>
    </rPh>
    <rPh sb="5" eb="6">
      <t>コ</t>
    </rPh>
    <rPh sb="7" eb="8">
      <t>ムスメ</t>
    </rPh>
    <phoneticPr fontId="1"/>
  </si>
  <si>
    <t>永山　ハツ子</t>
    <rPh sb="0" eb="2">
      <t>ナガヤマ</t>
    </rPh>
    <rPh sb="5" eb="6">
      <t>コ</t>
    </rPh>
    <phoneticPr fontId="1"/>
  </si>
  <si>
    <t>永山　清和(三男)</t>
    <rPh sb="0" eb="2">
      <t>ナガヤマ</t>
    </rPh>
    <rPh sb="3" eb="5">
      <t>キヨカズ</t>
    </rPh>
    <rPh sb="6" eb="8">
      <t>ミツオ</t>
    </rPh>
    <phoneticPr fontId="1"/>
  </si>
  <si>
    <t>宮城　春子</t>
    <rPh sb="0" eb="2">
      <t>ミヤギ</t>
    </rPh>
    <rPh sb="3" eb="5">
      <t>ハルコ</t>
    </rPh>
    <phoneticPr fontId="1"/>
  </si>
  <si>
    <t>那覇</t>
    <rPh sb="0" eb="2">
      <t>ナハ</t>
    </rPh>
    <phoneticPr fontId="1"/>
  </si>
  <si>
    <t>前底　洋子(次女)</t>
    <rPh sb="0" eb="1">
      <t>マエ</t>
    </rPh>
    <rPh sb="1" eb="2">
      <t>ソコ</t>
    </rPh>
    <rPh sb="3" eb="5">
      <t>ヨウコ</t>
    </rPh>
    <rPh sb="6" eb="8">
      <t>ジジョ</t>
    </rPh>
    <phoneticPr fontId="1"/>
  </si>
  <si>
    <t>神谷　ヨシ</t>
    <rPh sb="0" eb="2">
      <t>カミヤ</t>
    </rPh>
    <phoneticPr fontId="1"/>
  </si>
  <si>
    <t>神谷　清一（五男）</t>
    <rPh sb="0" eb="2">
      <t>カミヤ</t>
    </rPh>
    <rPh sb="3" eb="5">
      <t>セイイチ</t>
    </rPh>
    <rPh sb="6" eb="7">
      <t>ゴ</t>
    </rPh>
    <rPh sb="7" eb="8">
      <t>ナン</t>
    </rPh>
    <phoneticPr fontId="1"/>
  </si>
  <si>
    <t>喜屋武　花子</t>
    <rPh sb="0" eb="3">
      <t>キャン</t>
    </rPh>
    <rPh sb="4" eb="6">
      <t>ハナコ</t>
    </rPh>
    <phoneticPr fontId="1"/>
  </si>
  <si>
    <t>田本　冴子（長女）</t>
    <rPh sb="0" eb="1">
      <t>タ</t>
    </rPh>
    <rPh sb="1" eb="2">
      <t>モト</t>
    </rPh>
    <rPh sb="3" eb="5">
      <t>サエコ</t>
    </rPh>
    <rPh sb="6" eb="8">
      <t>チョウジョ</t>
    </rPh>
    <phoneticPr fontId="1"/>
  </si>
  <si>
    <t>山内　安子</t>
    <rPh sb="0" eb="2">
      <t>ヤマウチ</t>
    </rPh>
    <rPh sb="3" eb="5">
      <t>ヤスコ</t>
    </rPh>
    <phoneticPr fontId="1"/>
  </si>
  <si>
    <t>山内　正(長男)</t>
    <rPh sb="0" eb="2">
      <t>ヤマウチ</t>
    </rPh>
    <rPh sb="3" eb="4">
      <t>タダ</t>
    </rPh>
    <rPh sb="5" eb="7">
      <t>チョウナン</t>
    </rPh>
    <phoneticPr fontId="1"/>
  </si>
  <si>
    <t>金城　初子</t>
    <rPh sb="0" eb="2">
      <t>キンジョウ</t>
    </rPh>
    <rPh sb="3" eb="5">
      <t>ハツコ</t>
    </rPh>
    <phoneticPr fontId="1"/>
  </si>
  <si>
    <t>知念　政美(次女)</t>
    <rPh sb="0" eb="2">
      <t>チネン</t>
    </rPh>
    <rPh sb="3" eb="5">
      <t>マサミ</t>
    </rPh>
    <rPh sb="6" eb="8">
      <t>ジジョ</t>
    </rPh>
    <phoneticPr fontId="1"/>
  </si>
  <si>
    <t>伊集　ユキ</t>
    <rPh sb="0" eb="2">
      <t>イジュ</t>
    </rPh>
    <phoneticPr fontId="1"/>
  </si>
  <si>
    <t>伊集　朝得(長男)</t>
    <rPh sb="0" eb="2">
      <t>イジュ</t>
    </rPh>
    <rPh sb="3" eb="4">
      <t>アサ</t>
    </rPh>
    <rPh sb="4" eb="5">
      <t>トク</t>
    </rPh>
    <rPh sb="6" eb="8">
      <t>チョウナン</t>
    </rPh>
    <phoneticPr fontId="1"/>
  </si>
  <si>
    <t>米須　春江</t>
    <rPh sb="0" eb="2">
      <t>コメス</t>
    </rPh>
    <rPh sb="3" eb="5">
      <t>ハルエ</t>
    </rPh>
    <phoneticPr fontId="1"/>
  </si>
  <si>
    <t>宜保　里恵（娘）</t>
    <rPh sb="0" eb="2">
      <t>ギボ</t>
    </rPh>
    <rPh sb="3" eb="4">
      <t>サト</t>
    </rPh>
    <rPh sb="4" eb="5">
      <t>メグミ</t>
    </rPh>
    <rPh sb="6" eb="7">
      <t>ムスメ</t>
    </rPh>
    <phoneticPr fontId="1"/>
  </si>
  <si>
    <t>090-3796-6288</t>
    <phoneticPr fontId="1"/>
  </si>
  <si>
    <t>神谷　ヨシ子</t>
    <rPh sb="0" eb="2">
      <t>カミヤ</t>
    </rPh>
    <rPh sb="5" eb="6">
      <t>コ</t>
    </rPh>
    <phoneticPr fontId="1"/>
  </si>
  <si>
    <t>85歳</t>
  </si>
  <si>
    <t>神谷　真由子(娘)</t>
    <rPh sb="0" eb="2">
      <t>カミヤ</t>
    </rPh>
    <rPh sb="3" eb="6">
      <t>マユコ</t>
    </rPh>
    <rPh sb="7" eb="8">
      <t>ムスメ</t>
    </rPh>
    <phoneticPr fontId="1"/>
  </si>
  <si>
    <r>
      <t xml:space="preserve">新垣　フミ </t>
    </r>
    <r>
      <rPr>
        <sz val="11"/>
        <color rgb="FFFF0000"/>
        <rFont val="游ゴシック"/>
        <family val="3"/>
        <charset val="128"/>
        <scheme val="minor"/>
      </rPr>
      <t>H</t>
    </r>
    <rPh sb="0" eb="2">
      <t>アラカキ</t>
    </rPh>
    <phoneticPr fontId="1"/>
  </si>
  <si>
    <t>金城　清美(娘)</t>
    <rPh sb="0" eb="2">
      <t>キンジョウ</t>
    </rPh>
    <rPh sb="3" eb="4">
      <t>キヨ</t>
    </rPh>
    <rPh sb="4" eb="5">
      <t>ビ</t>
    </rPh>
    <rPh sb="6" eb="7">
      <t>ムスメ</t>
    </rPh>
    <phoneticPr fontId="1"/>
  </si>
  <si>
    <t>090-6858-6702</t>
    <phoneticPr fontId="1"/>
  </si>
  <si>
    <t>銘苅　シズ</t>
    <rPh sb="0" eb="2">
      <t>メカル</t>
    </rPh>
    <phoneticPr fontId="1"/>
  </si>
  <si>
    <t>銘苅　圭伸（次男）</t>
    <rPh sb="0" eb="2">
      <t>メカル</t>
    </rPh>
    <rPh sb="3" eb="4">
      <t>ケイ</t>
    </rPh>
    <rPh sb="4" eb="5">
      <t>シン</t>
    </rPh>
    <rPh sb="6" eb="8">
      <t>ジナン</t>
    </rPh>
    <phoneticPr fontId="1"/>
  </si>
  <si>
    <t>090-2501-9756</t>
    <phoneticPr fontId="1"/>
  </si>
  <si>
    <t>宮里　トシ子</t>
    <rPh sb="0" eb="2">
      <t>ミヤザト</t>
    </rPh>
    <rPh sb="5" eb="6">
      <t>コ</t>
    </rPh>
    <phoneticPr fontId="1"/>
  </si>
  <si>
    <t>宮里　勝（長男）</t>
    <rPh sb="0" eb="2">
      <t>ミヤザト</t>
    </rPh>
    <rPh sb="3" eb="4">
      <t>マサ</t>
    </rPh>
    <rPh sb="5" eb="7">
      <t>チョウナン</t>
    </rPh>
    <phoneticPr fontId="1"/>
  </si>
  <si>
    <t>090-1510-8390</t>
    <phoneticPr fontId="1"/>
  </si>
  <si>
    <t>桃原　千代子</t>
    <rPh sb="0" eb="2">
      <t>トウバル</t>
    </rPh>
    <rPh sb="3" eb="6">
      <t>チヨコ</t>
    </rPh>
    <phoneticPr fontId="1"/>
  </si>
  <si>
    <t>桃原　民雄（五男）</t>
    <rPh sb="0" eb="2">
      <t>トウバル</t>
    </rPh>
    <rPh sb="3" eb="5">
      <t>タミオ</t>
    </rPh>
    <rPh sb="6" eb="8">
      <t>イツオ</t>
    </rPh>
    <phoneticPr fontId="1"/>
  </si>
  <si>
    <t>野原　常子</t>
    <rPh sb="0" eb="2">
      <t>ノハラ</t>
    </rPh>
    <rPh sb="3" eb="5">
      <t>ツネコ</t>
    </rPh>
    <phoneticPr fontId="1"/>
  </si>
  <si>
    <t>野原　昌市（長男）</t>
    <rPh sb="0" eb="2">
      <t>ノハラ</t>
    </rPh>
    <rPh sb="3" eb="4">
      <t>アキラ</t>
    </rPh>
    <rPh sb="4" eb="5">
      <t>シ</t>
    </rPh>
    <rPh sb="6" eb="8">
      <t>チョウナン</t>
    </rPh>
    <phoneticPr fontId="1"/>
  </si>
  <si>
    <t>久手堅　トヨ</t>
    <rPh sb="0" eb="3">
      <t>クデケン</t>
    </rPh>
    <phoneticPr fontId="1"/>
  </si>
  <si>
    <t>久手堅　憲一（長男）</t>
    <rPh sb="0" eb="3">
      <t>クデケン</t>
    </rPh>
    <rPh sb="4" eb="6">
      <t>ケンイチ</t>
    </rPh>
    <rPh sb="7" eb="9">
      <t>チョウナン</t>
    </rPh>
    <phoneticPr fontId="1"/>
  </si>
  <si>
    <t>前城　シゲ</t>
    <rPh sb="0" eb="2">
      <t>マエシロ</t>
    </rPh>
    <phoneticPr fontId="1"/>
  </si>
  <si>
    <t>南城市</t>
    <rPh sb="0" eb="2">
      <t>ナンジョウ</t>
    </rPh>
    <rPh sb="2" eb="3">
      <t>シ</t>
    </rPh>
    <phoneticPr fontId="1"/>
  </si>
  <si>
    <t>2階入所者</t>
    <rPh sb="1" eb="2">
      <t>カイ</t>
    </rPh>
    <rPh sb="2" eb="5">
      <t>ニュウショシャ</t>
    </rPh>
    <phoneticPr fontId="1"/>
  </si>
  <si>
    <t>金城　昌子</t>
    <rPh sb="0" eb="2">
      <t>キンジョウ</t>
    </rPh>
    <rPh sb="3" eb="5">
      <t>マサコ</t>
    </rPh>
    <phoneticPr fontId="1"/>
  </si>
  <si>
    <t>楚南　美江(長女)</t>
    <rPh sb="0" eb="2">
      <t>ソナン</t>
    </rPh>
    <rPh sb="3" eb="4">
      <t>ビ</t>
    </rPh>
    <rPh sb="4" eb="5">
      <t>エ</t>
    </rPh>
    <rPh sb="6" eb="8">
      <t>チョウジョ</t>
    </rPh>
    <phoneticPr fontId="1"/>
  </si>
  <si>
    <t>座安　房子</t>
    <rPh sb="0" eb="2">
      <t>ザヤス</t>
    </rPh>
    <rPh sb="3" eb="5">
      <t>フサコ</t>
    </rPh>
    <phoneticPr fontId="1"/>
  </si>
  <si>
    <t>宮城　ミチコ(夫の妹)</t>
    <rPh sb="0" eb="2">
      <t>ミヤギ</t>
    </rPh>
    <rPh sb="7" eb="8">
      <t>オット</t>
    </rPh>
    <rPh sb="9" eb="10">
      <t>イモウト</t>
    </rPh>
    <phoneticPr fontId="1"/>
  </si>
  <si>
    <t>080-2732-8598</t>
    <phoneticPr fontId="1"/>
  </si>
  <si>
    <t>知念　トミ</t>
    <rPh sb="0" eb="2">
      <t>チネン</t>
    </rPh>
    <phoneticPr fontId="1"/>
  </si>
  <si>
    <t>知念　正和（次男）</t>
    <rPh sb="0" eb="2">
      <t>チネン</t>
    </rPh>
    <rPh sb="3" eb="5">
      <t>マサカズ</t>
    </rPh>
    <rPh sb="6" eb="8">
      <t>ジナン</t>
    </rPh>
    <phoneticPr fontId="1"/>
  </si>
  <si>
    <t>奥間　政治</t>
    <rPh sb="0" eb="2">
      <t>オクマ</t>
    </rPh>
    <rPh sb="3" eb="5">
      <t>セイジ</t>
    </rPh>
    <phoneticPr fontId="1"/>
  </si>
  <si>
    <t>奥間　節子（妻）</t>
    <rPh sb="0" eb="2">
      <t>オクマ</t>
    </rPh>
    <rPh sb="3" eb="5">
      <t>セツコ</t>
    </rPh>
    <rPh sb="6" eb="7">
      <t>ツマ</t>
    </rPh>
    <phoneticPr fontId="1"/>
  </si>
  <si>
    <t>上原　篤三</t>
    <rPh sb="0" eb="2">
      <t>ウエハラ</t>
    </rPh>
    <rPh sb="3" eb="4">
      <t>アツシ</t>
    </rPh>
    <rPh sb="4" eb="5">
      <t>サン</t>
    </rPh>
    <phoneticPr fontId="1"/>
  </si>
  <si>
    <t>那覇市</t>
    <rPh sb="0" eb="3">
      <t>ナハシ</t>
    </rPh>
    <phoneticPr fontId="1"/>
  </si>
  <si>
    <t>平良　律子(妹)</t>
    <rPh sb="0" eb="2">
      <t>タイラ</t>
    </rPh>
    <rPh sb="3" eb="5">
      <t>リツコ</t>
    </rPh>
    <rPh sb="6" eb="7">
      <t>イモウト</t>
    </rPh>
    <phoneticPr fontId="1"/>
  </si>
  <si>
    <t>仲座　京光</t>
    <rPh sb="0" eb="2">
      <t>ナカザ</t>
    </rPh>
    <rPh sb="3" eb="4">
      <t>キョウ</t>
    </rPh>
    <rPh sb="4" eb="5">
      <t>ヒカリ</t>
    </rPh>
    <phoneticPr fontId="1"/>
  </si>
  <si>
    <t>仲座　ノリ子(妻)</t>
    <rPh sb="0" eb="2">
      <t>ナカザ</t>
    </rPh>
    <rPh sb="5" eb="6">
      <t>コ</t>
    </rPh>
    <rPh sb="7" eb="8">
      <t>ツマ</t>
    </rPh>
    <phoneticPr fontId="1"/>
  </si>
  <si>
    <t>野原　榮助</t>
    <rPh sb="0" eb="2">
      <t>ノハラ</t>
    </rPh>
    <rPh sb="3" eb="4">
      <t>サカエ</t>
    </rPh>
    <rPh sb="4" eb="5">
      <t>スケ</t>
    </rPh>
    <phoneticPr fontId="1"/>
  </si>
  <si>
    <t>野原　充(長男)</t>
    <rPh sb="0" eb="2">
      <t>ノハラ</t>
    </rPh>
    <rPh sb="3" eb="4">
      <t>ミツル</t>
    </rPh>
    <rPh sb="5" eb="7">
      <t>チョウナン</t>
    </rPh>
    <phoneticPr fontId="1"/>
  </si>
  <si>
    <t>島袋　スミ</t>
    <rPh sb="0" eb="2">
      <t>シマブクロ</t>
    </rPh>
    <phoneticPr fontId="1"/>
  </si>
  <si>
    <t>女</t>
    <rPh sb="0" eb="1">
      <t>オンア</t>
    </rPh>
    <phoneticPr fontId="1"/>
  </si>
  <si>
    <t>島袋　光雄（長男）</t>
    <rPh sb="0" eb="2">
      <t>シマブクロ</t>
    </rPh>
    <rPh sb="3" eb="4">
      <t>ヒカリ</t>
    </rPh>
    <rPh sb="4" eb="5">
      <t>オ</t>
    </rPh>
    <rPh sb="6" eb="8">
      <t>チョウナン</t>
    </rPh>
    <phoneticPr fontId="1"/>
  </si>
  <si>
    <t>金城　カメ</t>
    <rPh sb="0" eb="2">
      <t>キンジョウ</t>
    </rPh>
    <phoneticPr fontId="1"/>
  </si>
  <si>
    <t>金城　京子（長男嫁）</t>
    <rPh sb="0" eb="2">
      <t>キンジョウ</t>
    </rPh>
    <rPh sb="3" eb="5">
      <t>キョウコ</t>
    </rPh>
    <rPh sb="6" eb="8">
      <t>チョウナン</t>
    </rPh>
    <rPh sb="8" eb="9">
      <t>ヨメ</t>
    </rPh>
    <phoneticPr fontId="1"/>
  </si>
  <si>
    <t>野原　セツ</t>
    <rPh sb="0" eb="2">
      <t>ノハラ</t>
    </rPh>
    <phoneticPr fontId="1"/>
  </si>
  <si>
    <t>野原　みぐみ(嫁)</t>
    <rPh sb="0" eb="2">
      <t>ノハラ</t>
    </rPh>
    <rPh sb="7" eb="8">
      <t>ヨメ</t>
    </rPh>
    <phoneticPr fontId="1"/>
  </si>
  <si>
    <t>玉栄　眞佐子</t>
    <rPh sb="0" eb="2">
      <t>タマエイ</t>
    </rPh>
    <rPh sb="3" eb="4">
      <t>マ</t>
    </rPh>
    <rPh sb="4" eb="5">
      <t>サ</t>
    </rPh>
    <rPh sb="5" eb="6">
      <t>コ</t>
    </rPh>
    <phoneticPr fontId="1"/>
  </si>
  <si>
    <t>八重瀬</t>
    <phoneticPr fontId="1"/>
  </si>
  <si>
    <t>玉栄　香代子(次女)</t>
    <rPh sb="0" eb="2">
      <t>タマエイ</t>
    </rPh>
    <rPh sb="3" eb="4">
      <t>カオ</t>
    </rPh>
    <rPh sb="4" eb="5">
      <t>ダイ</t>
    </rPh>
    <rPh sb="5" eb="6">
      <t>コ</t>
    </rPh>
    <rPh sb="7" eb="9">
      <t>ジジョ</t>
    </rPh>
    <phoneticPr fontId="1"/>
  </si>
  <si>
    <t>金城　保雄</t>
    <rPh sb="0" eb="2">
      <t>キンジョウ</t>
    </rPh>
    <rPh sb="3" eb="5">
      <t>ヤスオ</t>
    </rPh>
    <phoneticPr fontId="1"/>
  </si>
  <si>
    <t>金城　エミ子（妻）</t>
    <rPh sb="0" eb="2">
      <t>キンジョウ</t>
    </rPh>
    <rPh sb="5" eb="6">
      <t>コ</t>
    </rPh>
    <rPh sb="7" eb="8">
      <t>ツマ</t>
    </rPh>
    <phoneticPr fontId="1"/>
  </si>
  <si>
    <t>090-6862-2405</t>
    <phoneticPr fontId="1"/>
  </si>
  <si>
    <t>大城　清栄</t>
    <rPh sb="0" eb="2">
      <t>オオシロ</t>
    </rPh>
    <rPh sb="3" eb="5">
      <t>セイエイ</t>
    </rPh>
    <phoneticPr fontId="1"/>
  </si>
  <si>
    <t>大城　学章（長男）</t>
    <rPh sb="0" eb="2">
      <t>オオシロ</t>
    </rPh>
    <rPh sb="3" eb="4">
      <t>マナブ</t>
    </rPh>
    <rPh sb="4" eb="5">
      <t>ショウ</t>
    </rPh>
    <rPh sb="6" eb="8">
      <t>チョウナン</t>
    </rPh>
    <phoneticPr fontId="1"/>
  </si>
  <si>
    <t>090-9070-5588</t>
    <phoneticPr fontId="1"/>
  </si>
  <si>
    <t>新垣　栄信</t>
    <rPh sb="0" eb="2">
      <t>アラカキ</t>
    </rPh>
    <rPh sb="3" eb="4">
      <t>サカエ</t>
    </rPh>
    <rPh sb="4" eb="5">
      <t>シン</t>
    </rPh>
    <phoneticPr fontId="1"/>
  </si>
  <si>
    <t>新垣　栄健（甥）</t>
    <rPh sb="0" eb="2">
      <t>アラカキ</t>
    </rPh>
    <rPh sb="3" eb="4">
      <t>サカエ</t>
    </rPh>
    <rPh sb="4" eb="5">
      <t>ケン</t>
    </rPh>
    <rPh sb="6" eb="7">
      <t>オイ</t>
    </rPh>
    <phoneticPr fontId="1"/>
  </si>
  <si>
    <t>神谷　榮一</t>
    <rPh sb="0" eb="2">
      <t>カミヤ</t>
    </rPh>
    <rPh sb="3" eb="5">
      <t>エイイチ</t>
    </rPh>
    <phoneticPr fontId="1"/>
  </si>
  <si>
    <t>東郷　哲郎</t>
    <rPh sb="0" eb="2">
      <t>トウゴウ</t>
    </rPh>
    <rPh sb="3" eb="5">
      <t>テツロウ</t>
    </rPh>
    <phoneticPr fontId="1"/>
  </si>
  <si>
    <t>東郷　智子(妻)</t>
    <rPh sb="0" eb="2">
      <t>トウゴウ</t>
    </rPh>
    <rPh sb="3" eb="5">
      <t>トモコ</t>
    </rPh>
    <rPh sb="6" eb="7">
      <t>ツマ</t>
    </rPh>
    <phoneticPr fontId="1"/>
  </si>
  <si>
    <t>大城　正信</t>
    <rPh sb="0" eb="2">
      <t>オオシロ</t>
    </rPh>
    <rPh sb="3" eb="5">
      <t>マサノブ</t>
    </rPh>
    <phoneticPr fontId="1"/>
  </si>
  <si>
    <t>大城　明美(妻)</t>
    <rPh sb="0" eb="2">
      <t>オオシロ</t>
    </rPh>
    <rPh sb="3" eb="5">
      <t>アケミ</t>
    </rPh>
    <rPh sb="6" eb="7">
      <t>ツマ</t>
    </rPh>
    <phoneticPr fontId="1"/>
  </si>
  <si>
    <t>富里　馨</t>
    <rPh sb="0" eb="2">
      <t>フサト</t>
    </rPh>
    <rPh sb="3" eb="4">
      <t>カオル</t>
    </rPh>
    <phoneticPr fontId="1"/>
  </si>
  <si>
    <t>上原　栄子(姉)</t>
    <rPh sb="0" eb="2">
      <t>ウエハラ</t>
    </rPh>
    <rPh sb="3" eb="4">
      <t>サカエ</t>
    </rPh>
    <rPh sb="4" eb="5">
      <t>コ</t>
    </rPh>
    <rPh sb="6" eb="7">
      <t>アネ</t>
    </rPh>
    <phoneticPr fontId="1"/>
  </si>
  <si>
    <t>　</t>
    <phoneticPr fontId="1"/>
  </si>
  <si>
    <t>大城　清正</t>
    <rPh sb="0" eb="2">
      <t>オオシロ</t>
    </rPh>
    <rPh sb="3" eb="4">
      <t>キヨ</t>
    </rPh>
    <rPh sb="4" eb="5">
      <t>マサ</t>
    </rPh>
    <phoneticPr fontId="1"/>
  </si>
  <si>
    <t>具志　美加栄(長女)</t>
    <rPh sb="0" eb="2">
      <t>グシ</t>
    </rPh>
    <rPh sb="3" eb="4">
      <t>ビ</t>
    </rPh>
    <rPh sb="4" eb="5">
      <t>クワ</t>
    </rPh>
    <rPh sb="5" eb="6">
      <t>エイ</t>
    </rPh>
    <rPh sb="7" eb="9">
      <t>チョウジョ</t>
    </rPh>
    <phoneticPr fontId="1"/>
  </si>
  <si>
    <t>新垣　フミ子</t>
    <rPh sb="0" eb="2">
      <t>シンガキ</t>
    </rPh>
    <rPh sb="5" eb="6">
      <t>コ</t>
    </rPh>
    <phoneticPr fontId="1"/>
  </si>
  <si>
    <t>新垣　盛行(長男)</t>
    <rPh sb="0" eb="2">
      <t>シンガキ</t>
    </rPh>
    <rPh sb="3" eb="4">
      <t>モ</t>
    </rPh>
    <rPh sb="4" eb="5">
      <t>イ</t>
    </rPh>
    <rPh sb="6" eb="8">
      <t>チョウナン</t>
    </rPh>
    <phoneticPr fontId="1"/>
  </si>
  <si>
    <t>目差　尚美</t>
    <rPh sb="0" eb="1">
      <t>メ</t>
    </rPh>
    <rPh sb="1" eb="2">
      <t>サ</t>
    </rPh>
    <rPh sb="3" eb="5">
      <t>ナオミ</t>
    </rPh>
    <phoneticPr fontId="1"/>
  </si>
  <si>
    <t>稲福　ちえみ（妹）</t>
    <rPh sb="0" eb="2">
      <t>イナフク</t>
    </rPh>
    <rPh sb="7" eb="8">
      <t>イモウト</t>
    </rPh>
    <phoneticPr fontId="1"/>
  </si>
  <si>
    <t>神谷　幸子</t>
    <rPh sb="0" eb="2">
      <t>カミヤ</t>
    </rPh>
    <rPh sb="3" eb="5">
      <t>サチコ</t>
    </rPh>
    <phoneticPr fontId="1"/>
  </si>
  <si>
    <t>神谷　秀勝(長男)</t>
    <rPh sb="0" eb="2">
      <t>カミタニ</t>
    </rPh>
    <rPh sb="3" eb="5">
      <t>ヒデカツ</t>
    </rPh>
    <rPh sb="6" eb="8">
      <t>チョウナン</t>
    </rPh>
    <phoneticPr fontId="1"/>
  </si>
  <si>
    <t>中沼　操子</t>
    <rPh sb="0" eb="2">
      <t>ナカヌマ</t>
    </rPh>
    <rPh sb="3" eb="5">
      <t>ミサコ</t>
    </rPh>
    <phoneticPr fontId="1"/>
  </si>
  <si>
    <t>中沼　豊(長男)</t>
    <rPh sb="0" eb="2">
      <t>ナカヌマ</t>
    </rPh>
    <rPh sb="3" eb="4">
      <t>ユタ</t>
    </rPh>
    <rPh sb="5" eb="7">
      <t>チョウナン</t>
    </rPh>
    <phoneticPr fontId="1"/>
  </si>
  <si>
    <r>
      <t>上原　敦子</t>
    </r>
    <r>
      <rPr>
        <sz val="11"/>
        <color rgb="FFFF0000"/>
        <rFont val="游ゴシック"/>
        <family val="3"/>
        <charset val="128"/>
        <scheme val="minor"/>
      </rPr>
      <t>H</t>
    </r>
    <rPh sb="0" eb="2">
      <t>ウエハラ</t>
    </rPh>
    <rPh sb="3" eb="5">
      <t>アツコ</t>
    </rPh>
    <phoneticPr fontId="1"/>
  </si>
  <si>
    <t>上原　博文(夫)</t>
    <rPh sb="0" eb="2">
      <t>ウエハラ</t>
    </rPh>
    <rPh sb="3" eb="5">
      <t>ヒロフミ</t>
    </rPh>
    <rPh sb="6" eb="7">
      <t>オット</t>
    </rPh>
    <phoneticPr fontId="1"/>
  </si>
  <si>
    <t>090-6866-6364</t>
  </si>
  <si>
    <t>大城　千代</t>
    <rPh sb="0" eb="2">
      <t>オオシロ</t>
    </rPh>
    <rPh sb="3" eb="5">
      <t>チヨ</t>
    </rPh>
    <phoneticPr fontId="1"/>
  </si>
  <si>
    <t>大城　正彦(四男)</t>
    <rPh sb="0" eb="2">
      <t>オオシロ</t>
    </rPh>
    <rPh sb="3" eb="5">
      <t>マサヒコ</t>
    </rPh>
    <rPh sb="6" eb="7">
      <t>ヨン</t>
    </rPh>
    <rPh sb="7" eb="8">
      <t>ナン</t>
    </rPh>
    <phoneticPr fontId="1"/>
  </si>
  <si>
    <t>野原　ハツ子</t>
    <rPh sb="0" eb="2">
      <t>ノハラ</t>
    </rPh>
    <rPh sb="5" eb="6">
      <t>コ</t>
    </rPh>
    <phoneticPr fontId="1"/>
  </si>
  <si>
    <t>野原　新徳（長男）</t>
    <rPh sb="0" eb="2">
      <t>ノハラ</t>
    </rPh>
    <rPh sb="3" eb="4">
      <t>シン</t>
    </rPh>
    <rPh sb="4" eb="5">
      <t>トク</t>
    </rPh>
    <rPh sb="6" eb="8">
      <t>チョウナン</t>
    </rPh>
    <phoneticPr fontId="1"/>
  </si>
  <si>
    <t>神谷　きよ</t>
    <rPh sb="0" eb="2">
      <t>カミヤ</t>
    </rPh>
    <phoneticPr fontId="1"/>
  </si>
  <si>
    <t>神谷　末子（長男嫁）</t>
    <rPh sb="0" eb="2">
      <t>カミヤ</t>
    </rPh>
    <rPh sb="3" eb="5">
      <t>スエコ</t>
    </rPh>
    <rPh sb="6" eb="8">
      <t>チョウナン</t>
    </rPh>
    <rPh sb="8" eb="9">
      <t>ヨメ</t>
    </rPh>
    <phoneticPr fontId="1"/>
  </si>
  <si>
    <t>S-1</t>
    <phoneticPr fontId="1"/>
  </si>
  <si>
    <t>南風原　照子</t>
    <rPh sb="0" eb="3">
      <t>ハエバラ</t>
    </rPh>
    <rPh sb="4" eb="6">
      <t>テルコ</t>
    </rPh>
    <phoneticPr fontId="1"/>
  </si>
  <si>
    <t>南風原　陽子(次男嫁)</t>
    <rPh sb="0" eb="3">
      <t>ハエバラ</t>
    </rPh>
    <rPh sb="4" eb="6">
      <t>ヨウコ</t>
    </rPh>
    <rPh sb="7" eb="9">
      <t>ジナン</t>
    </rPh>
    <rPh sb="9" eb="10">
      <t>ヨメ</t>
    </rPh>
    <phoneticPr fontId="1"/>
  </si>
  <si>
    <t>南風原　信勝</t>
    <rPh sb="0" eb="3">
      <t>ハエバラ</t>
    </rPh>
    <rPh sb="4" eb="6">
      <t>ノブカツ</t>
    </rPh>
    <phoneticPr fontId="1"/>
  </si>
  <si>
    <t>S-2</t>
    <phoneticPr fontId="1"/>
  </si>
  <si>
    <t>仲里　弘子</t>
    <rPh sb="0" eb="2">
      <t>ナカザト</t>
    </rPh>
    <rPh sb="3" eb="5">
      <t>ヒロコ</t>
    </rPh>
    <phoneticPr fontId="1"/>
  </si>
  <si>
    <t>仲里さつき(長男嫁)</t>
    <rPh sb="0" eb="2">
      <t>ナカザト</t>
    </rPh>
    <rPh sb="6" eb="8">
      <t>チョウナン</t>
    </rPh>
    <rPh sb="8" eb="9">
      <t>ヨメ</t>
    </rPh>
    <phoneticPr fontId="1"/>
  </si>
  <si>
    <t>當山　美智子</t>
    <rPh sb="0" eb="2">
      <t>トウヤマ</t>
    </rPh>
    <rPh sb="3" eb="6">
      <t>ミチコ</t>
    </rPh>
    <phoneticPr fontId="1"/>
  </si>
  <si>
    <t>當山　浩正(長男)</t>
    <rPh sb="0" eb="2">
      <t>トウヤマ</t>
    </rPh>
    <rPh sb="3" eb="5">
      <t>ヒロマサ</t>
    </rPh>
    <rPh sb="6" eb="8">
      <t>チョウナン</t>
    </rPh>
    <phoneticPr fontId="1"/>
  </si>
  <si>
    <t>川平　春子</t>
    <rPh sb="0" eb="2">
      <t>カワヒラ</t>
    </rPh>
    <rPh sb="3" eb="5">
      <t>ハルコ</t>
    </rPh>
    <phoneticPr fontId="1"/>
  </si>
  <si>
    <t>川平　和彦(長男）</t>
    <rPh sb="0" eb="2">
      <t>カワヒラ</t>
    </rPh>
    <rPh sb="3" eb="5">
      <t>カズヒコ</t>
    </rPh>
    <rPh sb="6" eb="8">
      <t>チョウナン</t>
    </rPh>
    <phoneticPr fontId="1"/>
  </si>
  <si>
    <r>
      <t>金城　君子</t>
    </r>
    <r>
      <rPr>
        <sz val="11"/>
        <color rgb="FFFF0000"/>
        <rFont val="游ゴシック"/>
        <family val="3"/>
        <charset val="128"/>
        <scheme val="minor"/>
      </rPr>
      <t>H</t>
    </r>
    <rPh sb="0" eb="2">
      <t>キンジョウ</t>
    </rPh>
    <rPh sb="3" eb="4">
      <t>キミ</t>
    </rPh>
    <rPh sb="4" eb="5">
      <t>コ</t>
    </rPh>
    <phoneticPr fontId="1"/>
  </si>
  <si>
    <t>新田　清美（長女）</t>
    <rPh sb="0" eb="2">
      <t>ニッタ</t>
    </rPh>
    <rPh sb="3" eb="4">
      <t>キヨ</t>
    </rPh>
    <rPh sb="4" eb="5">
      <t>ビ</t>
    </rPh>
    <rPh sb="6" eb="8">
      <t>チョウジョ</t>
    </rPh>
    <phoneticPr fontId="1"/>
  </si>
  <si>
    <t>金城　トシ</t>
    <rPh sb="0" eb="2">
      <t>キンジョウ</t>
    </rPh>
    <phoneticPr fontId="1"/>
  </si>
  <si>
    <t>金城  哲男(長男)</t>
    <rPh sb="0" eb="2">
      <t>キンジョウ</t>
    </rPh>
    <rPh sb="4" eb="6">
      <t>テツオ</t>
    </rPh>
    <rPh sb="7" eb="9">
      <t>チョウナン</t>
    </rPh>
    <phoneticPr fontId="1"/>
  </si>
  <si>
    <t>新垣　礼子</t>
    <rPh sb="0" eb="2">
      <t>アラカキ</t>
    </rPh>
    <rPh sb="3" eb="4">
      <t>レイ</t>
    </rPh>
    <rPh sb="4" eb="5">
      <t>コ</t>
    </rPh>
    <phoneticPr fontId="1"/>
  </si>
  <si>
    <t>新垣　一馬(夫)</t>
    <rPh sb="0" eb="2">
      <t>アラカキ</t>
    </rPh>
    <rPh sb="3" eb="5">
      <t>カズマ</t>
    </rPh>
    <rPh sb="6" eb="7">
      <t>オット</t>
    </rPh>
    <phoneticPr fontId="1"/>
  </si>
  <si>
    <t>國吉　春代</t>
    <rPh sb="0" eb="2">
      <t>クニヨシ</t>
    </rPh>
    <rPh sb="3" eb="5">
      <t>ハルヨ</t>
    </rPh>
    <phoneticPr fontId="1"/>
  </si>
  <si>
    <t>國吉　真雄(夫)</t>
    <rPh sb="0" eb="1">
      <t>クニ</t>
    </rPh>
    <rPh sb="1" eb="2">
      <t>キチ</t>
    </rPh>
    <rPh sb="3" eb="4">
      <t>シン</t>
    </rPh>
    <rPh sb="4" eb="5">
      <t>オ</t>
    </rPh>
    <rPh sb="6" eb="7">
      <t>オット</t>
    </rPh>
    <phoneticPr fontId="1"/>
  </si>
  <si>
    <t>上地　康健</t>
    <rPh sb="0" eb="2">
      <t>ウエチ</t>
    </rPh>
    <rPh sb="3" eb="4">
      <t>ヤス</t>
    </rPh>
    <rPh sb="4" eb="5">
      <t>ケン</t>
    </rPh>
    <phoneticPr fontId="1"/>
  </si>
  <si>
    <t>上地　功（弟）</t>
    <rPh sb="0" eb="2">
      <t>ウエチ</t>
    </rPh>
    <rPh sb="3" eb="4">
      <t>イサオ</t>
    </rPh>
    <rPh sb="5" eb="6">
      <t>オトウト</t>
    </rPh>
    <phoneticPr fontId="1"/>
  </si>
  <si>
    <t>玉城　盛英</t>
    <rPh sb="0" eb="2">
      <t>タマシロ</t>
    </rPh>
    <rPh sb="3" eb="4">
      <t>モ</t>
    </rPh>
    <rPh sb="4" eb="5">
      <t>エイ</t>
    </rPh>
    <phoneticPr fontId="1"/>
  </si>
  <si>
    <t>稲嶺　敏子（妹）</t>
    <rPh sb="0" eb="2">
      <t>イナミネ</t>
    </rPh>
    <rPh sb="3" eb="5">
      <t>トシコ</t>
    </rPh>
    <rPh sb="6" eb="7">
      <t>イモウト</t>
    </rPh>
    <phoneticPr fontId="1"/>
  </si>
  <si>
    <t>退所者</t>
    <rPh sb="0" eb="2">
      <t>タイショ</t>
    </rPh>
    <rPh sb="2" eb="3">
      <t>シャ</t>
    </rPh>
    <phoneticPr fontId="1"/>
  </si>
  <si>
    <t>日時</t>
    <rPh sb="0" eb="2">
      <t>ニチジ</t>
    </rPh>
    <phoneticPr fontId="1"/>
  </si>
  <si>
    <t>理由</t>
    <rPh sb="0" eb="2">
      <t>リユウ</t>
    </rPh>
    <phoneticPr fontId="1"/>
  </si>
  <si>
    <t>玉城　昌善</t>
    <rPh sb="0" eb="2">
      <t>タマシロ</t>
    </rPh>
    <rPh sb="3" eb="4">
      <t>マサ</t>
    </rPh>
    <rPh sb="4" eb="5">
      <t>ゼン</t>
    </rPh>
    <phoneticPr fontId="1"/>
  </si>
  <si>
    <t>永眠</t>
    <rPh sb="0" eb="2">
      <t>エイミン</t>
    </rPh>
    <phoneticPr fontId="1"/>
  </si>
  <si>
    <t>安里　賢二</t>
    <rPh sb="0" eb="2">
      <t>アサト</t>
    </rPh>
    <rPh sb="3" eb="5">
      <t>ケンジ</t>
    </rPh>
    <phoneticPr fontId="1"/>
  </si>
  <si>
    <t>転所</t>
    <rPh sb="0" eb="2">
      <t>テンショ</t>
    </rPh>
    <phoneticPr fontId="1"/>
  </si>
  <si>
    <t>金城　重安</t>
    <rPh sb="0" eb="2">
      <t>キンジョウ</t>
    </rPh>
    <rPh sb="3" eb="5">
      <t>シゲヤス</t>
    </rPh>
    <phoneticPr fontId="1"/>
  </si>
  <si>
    <t>金城　文彦（長男）</t>
    <rPh sb="0" eb="2">
      <t>キンジョウ</t>
    </rPh>
    <rPh sb="3" eb="5">
      <t>フミヒコ</t>
    </rPh>
    <rPh sb="6" eb="8">
      <t>チョウナン</t>
    </rPh>
    <phoneticPr fontId="1"/>
  </si>
  <si>
    <t>070-5810-4519</t>
    <phoneticPr fontId="1"/>
  </si>
  <si>
    <t>塩川　秀</t>
    <rPh sb="0" eb="2">
      <t>シオカワ</t>
    </rPh>
    <rPh sb="3" eb="4">
      <t>ヒデ</t>
    </rPh>
    <phoneticPr fontId="1"/>
  </si>
  <si>
    <t>新崎　洋子（長女)</t>
    <rPh sb="0" eb="2">
      <t>アラサキ</t>
    </rPh>
    <rPh sb="3" eb="5">
      <t>ヨウコ</t>
    </rPh>
    <rPh sb="6" eb="8">
      <t>チョウジョ</t>
    </rPh>
    <phoneticPr fontId="1"/>
  </si>
  <si>
    <t>090-9572-8021</t>
    <phoneticPr fontId="1"/>
  </si>
  <si>
    <t>｀</t>
    <phoneticPr fontId="1"/>
  </si>
  <si>
    <t>野原　清憲</t>
    <rPh sb="0" eb="2">
      <t>ノハラ</t>
    </rPh>
    <rPh sb="3" eb="4">
      <t>キヨ</t>
    </rPh>
    <phoneticPr fontId="1"/>
  </si>
  <si>
    <t>野原　久美子（嫁）</t>
    <rPh sb="0" eb="2">
      <t>ノハラ</t>
    </rPh>
    <rPh sb="3" eb="6">
      <t>クミコ</t>
    </rPh>
    <rPh sb="7" eb="8">
      <t>ヨメ</t>
    </rPh>
    <phoneticPr fontId="1"/>
  </si>
  <si>
    <r>
      <t xml:space="preserve">山城　シゲ </t>
    </r>
    <r>
      <rPr>
        <sz val="11"/>
        <color rgb="FFFF0000"/>
        <rFont val="游ゴシック"/>
        <family val="3"/>
        <charset val="128"/>
        <scheme val="minor"/>
      </rPr>
      <t>H</t>
    </r>
    <rPh sb="0" eb="2">
      <t>ヤマシロ</t>
    </rPh>
    <phoneticPr fontId="1"/>
  </si>
  <si>
    <t>荻堂　道枝（娘）</t>
    <rPh sb="0" eb="1">
      <t>オギ</t>
    </rPh>
    <rPh sb="1" eb="2">
      <t>ドウ</t>
    </rPh>
    <rPh sb="3" eb="4">
      <t>ミチ</t>
    </rPh>
    <rPh sb="4" eb="5">
      <t>エ</t>
    </rPh>
    <rPh sb="6" eb="7">
      <t>ムスメ</t>
    </rPh>
    <phoneticPr fontId="1"/>
  </si>
  <si>
    <t>090-1942-4211</t>
    <phoneticPr fontId="1"/>
  </si>
  <si>
    <t>野原　清一</t>
    <rPh sb="0" eb="2">
      <t>ノハラ</t>
    </rPh>
    <rPh sb="3" eb="5">
      <t>セイイチ</t>
    </rPh>
    <phoneticPr fontId="1"/>
  </si>
  <si>
    <t>野原　博和（長男）</t>
    <rPh sb="0" eb="2">
      <t>ノハラ</t>
    </rPh>
    <rPh sb="3" eb="5">
      <t>ヒロカズ</t>
    </rPh>
    <rPh sb="6" eb="8">
      <t>チョウナン</t>
    </rPh>
    <phoneticPr fontId="1"/>
  </si>
  <si>
    <t>090-3195-2145</t>
    <phoneticPr fontId="1"/>
  </si>
  <si>
    <t>照屋　フミ</t>
    <rPh sb="0" eb="2">
      <t>テルヤ</t>
    </rPh>
    <phoneticPr fontId="1"/>
  </si>
  <si>
    <t>下門　利枝子(娘)</t>
    <phoneticPr fontId="1"/>
  </si>
  <si>
    <t>090-9782-2121</t>
    <phoneticPr fontId="1"/>
  </si>
  <si>
    <t>金城　トヨ子</t>
    <rPh sb="0" eb="2">
      <t>キンジョウ</t>
    </rPh>
    <rPh sb="5" eb="6">
      <t>コ</t>
    </rPh>
    <phoneticPr fontId="1"/>
  </si>
  <si>
    <t>金城　勇雄（次男）</t>
    <rPh sb="0" eb="2">
      <t>キンジョウ</t>
    </rPh>
    <rPh sb="3" eb="4">
      <t>イサム</t>
    </rPh>
    <rPh sb="4" eb="5">
      <t>オ</t>
    </rPh>
    <rPh sb="6" eb="8">
      <t>ジナン</t>
    </rPh>
    <phoneticPr fontId="1"/>
  </si>
  <si>
    <t>新垣　千代</t>
    <rPh sb="0" eb="2">
      <t>アラカキ</t>
    </rPh>
    <rPh sb="3" eb="5">
      <t>チヨ</t>
    </rPh>
    <phoneticPr fontId="1"/>
  </si>
  <si>
    <t>新垣　榮喜(長男)</t>
    <rPh sb="0" eb="2">
      <t>アラカキ</t>
    </rPh>
    <rPh sb="3" eb="4">
      <t>サカエ</t>
    </rPh>
    <rPh sb="4" eb="5">
      <t>ヨロコ</t>
    </rPh>
    <rPh sb="6" eb="8">
      <t>チョウナン</t>
    </rPh>
    <phoneticPr fontId="1"/>
  </si>
  <si>
    <t>知念　長助</t>
    <rPh sb="0" eb="2">
      <t>チネン</t>
    </rPh>
    <rPh sb="3" eb="5">
      <t>チョウスケ</t>
    </rPh>
    <phoneticPr fontId="1"/>
  </si>
  <si>
    <t>知念　正行（長男）</t>
    <rPh sb="0" eb="2">
      <t>チネン</t>
    </rPh>
    <rPh sb="3" eb="5">
      <t>マサユキ</t>
    </rPh>
    <rPh sb="6" eb="8">
      <t>チョウナン</t>
    </rPh>
    <phoneticPr fontId="1"/>
  </si>
  <si>
    <t>098-998-6177</t>
    <phoneticPr fontId="1"/>
  </si>
  <si>
    <t>神谷　千代</t>
    <rPh sb="0" eb="2">
      <t>カミヤ</t>
    </rPh>
    <rPh sb="3" eb="5">
      <t>チヨ</t>
    </rPh>
    <phoneticPr fontId="1"/>
  </si>
  <si>
    <t>神谷　嘉彦（長男）</t>
    <rPh sb="0" eb="2">
      <t>カミヤ</t>
    </rPh>
    <rPh sb="3" eb="5">
      <t>ヨシヒコ</t>
    </rPh>
    <rPh sb="6" eb="8">
      <t>チョウナン</t>
    </rPh>
    <phoneticPr fontId="1"/>
  </si>
  <si>
    <t>眞喜志　トミ</t>
    <rPh sb="0" eb="1">
      <t>マ</t>
    </rPh>
    <rPh sb="1" eb="2">
      <t>キ</t>
    </rPh>
    <rPh sb="2" eb="3">
      <t>ココロザシ</t>
    </rPh>
    <phoneticPr fontId="1"/>
  </si>
  <si>
    <t>金城　優子（娘）</t>
    <rPh sb="0" eb="2">
      <t>キンジョウ</t>
    </rPh>
    <rPh sb="3" eb="5">
      <t>ユウコ</t>
    </rPh>
    <rPh sb="6" eb="7">
      <t>ムスメ</t>
    </rPh>
    <phoneticPr fontId="1"/>
  </si>
  <si>
    <t>090-6864-6796</t>
    <phoneticPr fontId="1"/>
  </si>
  <si>
    <r>
      <t xml:space="preserve">奥原　トミ </t>
    </r>
    <r>
      <rPr>
        <sz val="11"/>
        <color rgb="FFFF0000"/>
        <rFont val="游ゴシック"/>
        <family val="3"/>
        <charset val="128"/>
        <scheme val="minor"/>
      </rPr>
      <t>H</t>
    </r>
    <rPh sb="0" eb="2">
      <t>オクハラ</t>
    </rPh>
    <phoneticPr fontId="1"/>
  </si>
  <si>
    <t>志良堂　直美（長女）</t>
    <rPh sb="0" eb="3">
      <t>シラドウ</t>
    </rPh>
    <rPh sb="4" eb="6">
      <t>ナオミ</t>
    </rPh>
    <rPh sb="7" eb="9">
      <t>チョウジョ</t>
    </rPh>
    <phoneticPr fontId="1"/>
  </si>
  <si>
    <t>玉城　勇</t>
    <rPh sb="0" eb="2">
      <t>タマシロ</t>
    </rPh>
    <rPh sb="3" eb="4">
      <t>イサム</t>
    </rPh>
    <phoneticPr fontId="1"/>
  </si>
  <si>
    <t>永田　かおり（娘）</t>
    <rPh sb="0" eb="2">
      <t>ナガタ</t>
    </rPh>
    <rPh sb="7" eb="8">
      <t>ムスメ</t>
    </rPh>
    <phoneticPr fontId="1"/>
  </si>
  <si>
    <t>玉榮　美代子</t>
    <rPh sb="0" eb="1">
      <t>タマ</t>
    </rPh>
    <rPh sb="1" eb="2">
      <t>サカエ</t>
    </rPh>
    <rPh sb="3" eb="6">
      <t>ミヨコ</t>
    </rPh>
    <phoneticPr fontId="1"/>
  </si>
  <si>
    <t>玉榮　浩一（三男）</t>
    <rPh sb="0" eb="1">
      <t>タマ</t>
    </rPh>
    <rPh sb="1" eb="2">
      <t>サカエ</t>
    </rPh>
    <rPh sb="3" eb="5">
      <t>コウイチ</t>
    </rPh>
    <rPh sb="6" eb="8">
      <t>ミツオ</t>
    </rPh>
    <phoneticPr fontId="1"/>
  </si>
  <si>
    <t>嘉手川　千代</t>
    <rPh sb="0" eb="3">
      <t>カデカワ</t>
    </rPh>
    <rPh sb="4" eb="6">
      <t>チヨ</t>
    </rPh>
    <phoneticPr fontId="1"/>
  </si>
  <si>
    <t>嘉手川　洋子（長男嫁）</t>
    <rPh sb="0" eb="3">
      <t>カデカワ</t>
    </rPh>
    <rPh sb="4" eb="6">
      <t>ヨウコ</t>
    </rPh>
    <rPh sb="7" eb="9">
      <t>チョウナン</t>
    </rPh>
    <rPh sb="9" eb="10">
      <t>ヨメ</t>
    </rPh>
    <phoneticPr fontId="1"/>
  </si>
  <si>
    <t>太田　文雄</t>
    <rPh sb="0" eb="2">
      <t>オオタ</t>
    </rPh>
    <rPh sb="3" eb="5">
      <t>フミオ</t>
    </rPh>
    <phoneticPr fontId="1"/>
  </si>
  <si>
    <t>前里　幸枝（長女）</t>
    <rPh sb="0" eb="2">
      <t>マエザト</t>
    </rPh>
    <rPh sb="3" eb="5">
      <t>ユキエ</t>
    </rPh>
    <rPh sb="6" eb="8">
      <t>チョウジョ</t>
    </rPh>
    <phoneticPr fontId="1"/>
  </si>
  <si>
    <t>090-6862-5613</t>
    <phoneticPr fontId="1"/>
  </si>
  <si>
    <t>新垣　登代</t>
    <rPh sb="0" eb="2">
      <t>アラカキ</t>
    </rPh>
    <rPh sb="3" eb="5">
      <t>トヨ</t>
    </rPh>
    <phoneticPr fontId="1"/>
  </si>
  <si>
    <t>新垣　良伸（長男）</t>
    <rPh sb="0" eb="2">
      <t>アラカキ</t>
    </rPh>
    <rPh sb="3" eb="4">
      <t>ヨシ</t>
    </rPh>
    <rPh sb="4" eb="5">
      <t>ノブ</t>
    </rPh>
    <rPh sb="6" eb="8">
      <t>チョウナン</t>
    </rPh>
    <phoneticPr fontId="1"/>
  </si>
  <si>
    <t>崎浜　守正</t>
    <rPh sb="0" eb="2">
      <t>サキハマ</t>
    </rPh>
    <rPh sb="3" eb="5">
      <t>モリマサ</t>
    </rPh>
    <phoneticPr fontId="1"/>
  </si>
  <si>
    <t>崎濱　秀也（甥）</t>
    <rPh sb="0" eb="1">
      <t>ザキ</t>
    </rPh>
    <rPh sb="1" eb="2">
      <t>ハマ</t>
    </rPh>
    <rPh sb="3" eb="5">
      <t>ヒデヤ</t>
    </rPh>
    <rPh sb="6" eb="7">
      <t>オイ</t>
    </rPh>
    <phoneticPr fontId="1"/>
  </si>
  <si>
    <t>長嶺　清一</t>
    <rPh sb="0" eb="2">
      <t>ナガミネ</t>
    </rPh>
    <rPh sb="3" eb="5">
      <t>セイイチ</t>
    </rPh>
    <phoneticPr fontId="1"/>
  </si>
  <si>
    <t>長嶺　俊一（長男）</t>
    <rPh sb="0" eb="2">
      <t>ナガミネ</t>
    </rPh>
    <rPh sb="3" eb="5">
      <t>シュンイチ</t>
    </rPh>
    <rPh sb="6" eb="8">
      <t>チョウナン</t>
    </rPh>
    <phoneticPr fontId="1"/>
  </si>
  <si>
    <t>090-6932-5061</t>
    <phoneticPr fontId="1"/>
  </si>
  <si>
    <t>永眠</t>
    <rPh sb="0" eb="2">
      <t>エイミ</t>
    </rPh>
    <phoneticPr fontId="1"/>
  </si>
  <si>
    <t>大城　正一</t>
    <rPh sb="0" eb="2">
      <t>オオシロ</t>
    </rPh>
    <rPh sb="3" eb="5">
      <t>セイイチ</t>
    </rPh>
    <phoneticPr fontId="1"/>
  </si>
  <si>
    <t>大城　安男（次男）</t>
    <rPh sb="0" eb="2">
      <t>オオシロ</t>
    </rPh>
    <rPh sb="3" eb="4">
      <t>ヤス</t>
    </rPh>
    <rPh sb="4" eb="5">
      <t>オトコ</t>
    </rPh>
    <rPh sb="6" eb="8">
      <t>ツグオ</t>
    </rPh>
    <phoneticPr fontId="1"/>
  </si>
  <si>
    <t>090-3795-3169</t>
    <phoneticPr fontId="1"/>
  </si>
  <si>
    <t>仲座　ふみ</t>
    <rPh sb="0" eb="2">
      <t>ナカザ</t>
    </rPh>
    <phoneticPr fontId="1"/>
  </si>
  <si>
    <t>仲座　正文（四男）</t>
    <rPh sb="0" eb="2">
      <t>ナカザ</t>
    </rPh>
    <rPh sb="3" eb="5">
      <t>マサフミ</t>
    </rPh>
    <rPh sb="6" eb="8">
      <t>ヨナン</t>
    </rPh>
    <phoneticPr fontId="1"/>
  </si>
  <si>
    <t>090-4510-1805</t>
    <phoneticPr fontId="1"/>
  </si>
  <si>
    <t>當山　キミ</t>
    <rPh sb="0" eb="2">
      <t>トウヤマ</t>
    </rPh>
    <phoneticPr fontId="1"/>
  </si>
  <si>
    <t>當山　孝邦（孫）</t>
    <rPh sb="0" eb="2">
      <t>トウヤマ</t>
    </rPh>
    <rPh sb="3" eb="4">
      <t>タカシ</t>
    </rPh>
    <rPh sb="4" eb="5">
      <t>クニ</t>
    </rPh>
    <rPh sb="6" eb="7">
      <t>マゴ</t>
    </rPh>
    <phoneticPr fontId="1"/>
  </si>
  <si>
    <t>渡口　キヨ子</t>
    <rPh sb="0" eb="2">
      <t>トグチ</t>
    </rPh>
    <rPh sb="5" eb="6">
      <t>コ</t>
    </rPh>
    <phoneticPr fontId="1"/>
  </si>
  <si>
    <t>上原　政枝(四女)</t>
    <rPh sb="0" eb="2">
      <t>ウエハラ</t>
    </rPh>
    <rPh sb="3" eb="5">
      <t>マサエダ</t>
    </rPh>
    <rPh sb="6" eb="8">
      <t>ヨンジョ</t>
    </rPh>
    <phoneticPr fontId="1"/>
  </si>
  <si>
    <t>島添　ヨシ</t>
    <rPh sb="0" eb="2">
      <t>シマゾエ</t>
    </rPh>
    <phoneticPr fontId="1"/>
  </si>
  <si>
    <t>安里　久子（次女）</t>
    <rPh sb="0" eb="2">
      <t>アサト</t>
    </rPh>
    <rPh sb="3" eb="5">
      <t>ヒサコ</t>
    </rPh>
    <rPh sb="6" eb="8">
      <t>ジジョ</t>
    </rPh>
    <phoneticPr fontId="1"/>
  </si>
  <si>
    <t>野原　ヤス</t>
    <rPh sb="0" eb="2">
      <t>ノハラ</t>
    </rPh>
    <phoneticPr fontId="1"/>
  </si>
  <si>
    <t>山入端　睦子(次女）</t>
    <rPh sb="0" eb="1">
      <t>ヤマ</t>
    </rPh>
    <rPh sb="1" eb="2">
      <t>イリ</t>
    </rPh>
    <rPh sb="2" eb="3">
      <t>ハ</t>
    </rPh>
    <rPh sb="4" eb="6">
      <t>ムツコ</t>
    </rPh>
    <rPh sb="7" eb="9">
      <t>ジジョ</t>
    </rPh>
    <phoneticPr fontId="1"/>
  </si>
  <si>
    <t>090-6862-5552</t>
    <phoneticPr fontId="1"/>
  </si>
  <si>
    <t>金城　秀子</t>
    <rPh sb="0" eb="2">
      <t>キンジョウ</t>
    </rPh>
    <rPh sb="3" eb="5">
      <t>ヒデコ</t>
    </rPh>
    <phoneticPr fontId="1"/>
  </si>
  <si>
    <t>金城　春江(次女)</t>
    <rPh sb="0" eb="2">
      <t>キンジョウ</t>
    </rPh>
    <rPh sb="3" eb="5">
      <t>ハルエ</t>
    </rPh>
    <rPh sb="6" eb="8">
      <t>ジジョ</t>
    </rPh>
    <phoneticPr fontId="1"/>
  </si>
  <si>
    <t>大城　信子</t>
    <rPh sb="0" eb="2">
      <t>オオシロ</t>
    </rPh>
    <rPh sb="3" eb="5">
      <t>ノブコ</t>
    </rPh>
    <phoneticPr fontId="1"/>
  </si>
  <si>
    <t>大城　ヒロシ</t>
    <rPh sb="0" eb="2">
      <t>オオシロ</t>
    </rPh>
    <phoneticPr fontId="1"/>
  </si>
  <si>
    <r>
      <t xml:space="preserve">野原　清榮 </t>
    </r>
    <r>
      <rPr>
        <sz val="11"/>
        <color rgb="FFFF0000"/>
        <rFont val="游ゴシック"/>
        <family val="3"/>
        <charset val="128"/>
        <scheme val="minor"/>
      </rPr>
      <t>H</t>
    </r>
    <rPh sb="0" eb="2">
      <t>ノハラ</t>
    </rPh>
    <rPh sb="3" eb="4">
      <t>セイ</t>
    </rPh>
    <rPh sb="4" eb="5">
      <t>サカエ</t>
    </rPh>
    <phoneticPr fontId="1"/>
  </si>
  <si>
    <t>野原　幸江（義嫁）</t>
    <rPh sb="0" eb="2">
      <t>ノハラ</t>
    </rPh>
    <rPh sb="3" eb="5">
      <t>サチエ</t>
    </rPh>
    <rPh sb="6" eb="7">
      <t>タダシ</t>
    </rPh>
    <rPh sb="7" eb="8">
      <t>ヨメ</t>
    </rPh>
    <phoneticPr fontId="1"/>
  </si>
  <si>
    <t>090-1510-8393</t>
  </si>
  <si>
    <t>崎浜　秀信</t>
    <rPh sb="0" eb="2">
      <t>サキハマ</t>
    </rPh>
    <rPh sb="3" eb="5">
      <t>ヒデノブ</t>
    </rPh>
    <phoneticPr fontId="1"/>
  </si>
  <si>
    <t>知念　園子（三女）</t>
    <rPh sb="0" eb="2">
      <t>チネン</t>
    </rPh>
    <rPh sb="3" eb="4">
      <t>ソノ</t>
    </rPh>
    <rPh sb="4" eb="5">
      <t>コ</t>
    </rPh>
    <rPh sb="6" eb="8">
      <t>サンジョ</t>
    </rPh>
    <phoneticPr fontId="1"/>
  </si>
  <si>
    <r>
      <t xml:space="preserve">石川　文 </t>
    </r>
    <r>
      <rPr>
        <sz val="11"/>
        <color rgb="FFFF0000"/>
        <rFont val="游ゴシック"/>
        <family val="3"/>
        <charset val="128"/>
        <scheme val="minor"/>
      </rPr>
      <t>H</t>
    </r>
    <rPh sb="0" eb="2">
      <t>イシカワ</t>
    </rPh>
    <rPh sb="3" eb="4">
      <t>フミ</t>
    </rPh>
    <phoneticPr fontId="1"/>
  </si>
  <si>
    <t>石川恵美子（嫁）</t>
    <rPh sb="0" eb="2">
      <t>イシカワ</t>
    </rPh>
    <rPh sb="2" eb="5">
      <t>エミコ</t>
    </rPh>
    <rPh sb="6" eb="7">
      <t>ヨメ</t>
    </rPh>
    <phoneticPr fontId="1"/>
  </si>
  <si>
    <t>080-6490-2355</t>
    <phoneticPr fontId="1"/>
  </si>
  <si>
    <t>新垣　栄</t>
    <rPh sb="0" eb="2">
      <t>アラカキ</t>
    </rPh>
    <rPh sb="3" eb="4">
      <t>サカエ</t>
    </rPh>
    <phoneticPr fontId="1"/>
  </si>
  <si>
    <t>新垣　良則（四男）</t>
    <rPh sb="0" eb="2">
      <t>アラカキ</t>
    </rPh>
    <rPh sb="3" eb="5">
      <t>ヨシノリ</t>
    </rPh>
    <rPh sb="6" eb="8">
      <t>ヨンナン</t>
    </rPh>
    <phoneticPr fontId="1"/>
  </si>
  <si>
    <t>崎濱　芳子</t>
    <rPh sb="0" eb="2">
      <t>サキハマ</t>
    </rPh>
    <rPh sb="3" eb="5">
      <t>ヨシコ</t>
    </rPh>
    <phoneticPr fontId="1"/>
  </si>
  <si>
    <t>知念　竹</t>
    <rPh sb="0" eb="2">
      <t>チネン</t>
    </rPh>
    <rPh sb="3" eb="4">
      <t>タケ</t>
    </rPh>
    <phoneticPr fontId="1"/>
  </si>
  <si>
    <t>知念　誠也（孫）</t>
    <rPh sb="0" eb="2">
      <t>チネン</t>
    </rPh>
    <rPh sb="3" eb="4">
      <t>マコト</t>
    </rPh>
    <rPh sb="4" eb="5">
      <t>ナリ</t>
    </rPh>
    <rPh sb="6" eb="7">
      <t>マゴ</t>
    </rPh>
    <phoneticPr fontId="1"/>
  </si>
  <si>
    <t>島袋　盛昌</t>
    <rPh sb="0" eb="2">
      <t>シマブクロ</t>
    </rPh>
    <rPh sb="3" eb="4">
      <t>モリ</t>
    </rPh>
    <rPh sb="4" eb="5">
      <t>マサ</t>
    </rPh>
    <phoneticPr fontId="1"/>
  </si>
  <si>
    <t>大野　ミツ子</t>
    <rPh sb="0" eb="2">
      <t>オオノ</t>
    </rPh>
    <rPh sb="5" eb="6">
      <t>コ</t>
    </rPh>
    <phoneticPr fontId="1"/>
  </si>
  <si>
    <t>金城　初美(長女)</t>
    <rPh sb="0" eb="2">
      <t>キンジョウ</t>
    </rPh>
    <rPh sb="3" eb="5">
      <t>ハツミ</t>
    </rPh>
    <rPh sb="6" eb="8">
      <t>チョウジョ</t>
    </rPh>
    <phoneticPr fontId="1"/>
  </si>
  <si>
    <t>當山　清二</t>
    <rPh sb="0" eb="2">
      <t>トウヤマ</t>
    </rPh>
    <rPh sb="3" eb="4">
      <t>キヨ</t>
    </rPh>
    <rPh sb="4" eb="5">
      <t>ニ</t>
    </rPh>
    <phoneticPr fontId="1"/>
  </si>
  <si>
    <t>當山　広正（長男）</t>
    <rPh sb="0" eb="2">
      <t>トウヤマ</t>
    </rPh>
    <rPh sb="3" eb="4">
      <t>ヒロ</t>
    </rPh>
    <rPh sb="4" eb="5">
      <t>タダ</t>
    </rPh>
    <rPh sb="6" eb="8">
      <t>チョウナン</t>
    </rPh>
    <phoneticPr fontId="1"/>
  </si>
  <si>
    <t>070-5816-9762</t>
    <phoneticPr fontId="1"/>
  </si>
  <si>
    <t>永山　順榮</t>
    <rPh sb="0" eb="2">
      <t>ナガヤマ</t>
    </rPh>
    <rPh sb="3" eb="4">
      <t>ジュン</t>
    </rPh>
    <rPh sb="4" eb="5">
      <t>サカエ</t>
    </rPh>
    <phoneticPr fontId="1"/>
  </si>
  <si>
    <t>石川　恵(長女)</t>
    <rPh sb="0" eb="2">
      <t>イシカワ</t>
    </rPh>
    <rPh sb="3" eb="4">
      <t>メグ</t>
    </rPh>
    <rPh sb="5" eb="7">
      <t>チョウジョ</t>
    </rPh>
    <phoneticPr fontId="1"/>
  </si>
  <si>
    <t>金城　キヨ</t>
    <rPh sb="0" eb="2">
      <t>キンジョウ</t>
    </rPh>
    <phoneticPr fontId="1"/>
  </si>
  <si>
    <t>喜屋武　ハツ子(娘)</t>
    <rPh sb="0" eb="3">
      <t>キャン</t>
    </rPh>
    <rPh sb="6" eb="7">
      <t>コ</t>
    </rPh>
    <rPh sb="8" eb="9">
      <t>ムスメ</t>
    </rPh>
    <phoneticPr fontId="1"/>
  </si>
  <si>
    <t>宮里　春子</t>
    <rPh sb="0" eb="2">
      <t>ミヤザト</t>
    </rPh>
    <rPh sb="3" eb="5">
      <t>ハルコ</t>
    </rPh>
    <phoneticPr fontId="1"/>
  </si>
  <si>
    <t>宮里　泰信(長男)</t>
    <rPh sb="0" eb="2">
      <t>ミヤザト</t>
    </rPh>
    <rPh sb="3" eb="5">
      <t>ヤスノブ</t>
    </rPh>
    <rPh sb="6" eb="8">
      <t>チョウナン</t>
    </rPh>
    <phoneticPr fontId="1"/>
  </si>
  <si>
    <t>金城　善太郎</t>
    <rPh sb="0" eb="2">
      <t>キンジョウ</t>
    </rPh>
    <rPh sb="3" eb="6">
      <t>ゼンタロウ</t>
    </rPh>
    <phoneticPr fontId="1"/>
  </si>
  <si>
    <t>金城　美似子（長女）</t>
    <rPh sb="0" eb="2">
      <t>キンジョウ</t>
    </rPh>
    <rPh sb="3" eb="4">
      <t>ビ</t>
    </rPh>
    <rPh sb="4" eb="5">
      <t>ニ</t>
    </rPh>
    <rPh sb="5" eb="6">
      <t>コ</t>
    </rPh>
    <rPh sb="7" eb="9">
      <t>チョウジョ</t>
    </rPh>
    <phoneticPr fontId="1"/>
  </si>
  <si>
    <t>大城　利津子</t>
    <rPh sb="0" eb="2">
      <t>オオシロ</t>
    </rPh>
    <rPh sb="3" eb="4">
      <t>リ</t>
    </rPh>
    <rPh sb="4" eb="5">
      <t>ツ</t>
    </rPh>
    <rPh sb="5" eb="6">
      <t>コ</t>
    </rPh>
    <phoneticPr fontId="1"/>
  </si>
  <si>
    <t>大城　彰（息子）</t>
    <rPh sb="0" eb="2">
      <t>オオシロ</t>
    </rPh>
    <rPh sb="3" eb="4">
      <t>アキラ</t>
    </rPh>
    <rPh sb="5" eb="7">
      <t>ムスコ</t>
    </rPh>
    <phoneticPr fontId="1"/>
  </si>
  <si>
    <t>儀保　貞子</t>
    <rPh sb="0" eb="2">
      <t>ギボ</t>
    </rPh>
    <rPh sb="3" eb="5">
      <t>サダコ</t>
    </rPh>
    <phoneticPr fontId="1"/>
  </si>
  <si>
    <t>儀保　宜一（甥）</t>
    <rPh sb="0" eb="2">
      <t>ギボ</t>
    </rPh>
    <rPh sb="3" eb="4">
      <t>ギ</t>
    </rPh>
    <rPh sb="4" eb="5">
      <t>イチ</t>
    </rPh>
    <rPh sb="6" eb="7">
      <t>オイ</t>
    </rPh>
    <phoneticPr fontId="1"/>
  </si>
  <si>
    <t>仲座　榮幸</t>
    <rPh sb="0" eb="2">
      <t>ナカザ</t>
    </rPh>
    <rPh sb="3" eb="4">
      <t>エイ</t>
    </rPh>
    <rPh sb="4" eb="5">
      <t>サチ</t>
    </rPh>
    <phoneticPr fontId="1"/>
  </si>
  <si>
    <t>仲座　則夫（次男）</t>
    <rPh sb="0" eb="2">
      <t>ナカザ</t>
    </rPh>
    <rPh sb="3" eb="5">
      <t>ノリオ</t>
    </rPh>
    <rPh sb="6" eb="8">
      <t>ジナン</t>
    </rPh>
    <phoneticPr fontId="1"/>
  </si>
  <si>
    <r>
      <t>新垣　フミ</t>
    </r>
    <r>
      <rPr>
        <sz val="11"/>
        <color theme="1"/>
        <rFont val="游ゴシック"/>
        <family val="2"/>
        <charset val="128"/>
      </rPr>
      <t>②</t>
    </r>
    <rPh sb="0" eb="2">
      <t>アラカキ</t>
    </rPh>
    <phoneticPr fontId="1"/>
  </si>
  <si>
    <t>新垣　美苗（嫁）</t>
    <rPh sb="0" eb="2">
      <t>アラカキ</t>
    </rPh>
    <rPh sb="3" eb="5">
      <t>ミナエ</t>
    </rPh>
    <rPh sb="6" eb="7">
      <t>ヨメ</t>
    </rPh>
    <phoneticPr fontId="1"/>
  </si>
  <si>
    <t>神谷　キヨ</t>
    <rPh sb="0" eb="2">
      <t>カミヤ</t>
    </rPh>
    <phoneticPr fontId="1"/>
  </si>
  <si>
    <r>
      <t>知念　キク</t>
    </r>
    <r>
      <rPr>
        <sz val="11"/>
        <color rgb="FFFF0000"/>
        <rFont val="游ゴシック"/>
        <family val="3"/>
        <charset val="128"/>
        <scheme val="minor"/>
      </rPr>
      <t>H</t>
    </r>
    <rPh sb="0" eb="2">
      <t>チネン</t>
    </rPh>
    <phoneticPr fontId="1"/>
  </si>
  <si>
    <t>安里　美佐子（姪）</t>
    <rPh sb="0" eb="2">
      <t>アサト</t>
    </rPh>
    <rPh sb="3" eb="6">
      <t>ミサコ</t>
    </rPh>
    <rPh sb="7" eb="8">
      <t>メイ</t>
    </rPh>
    <phoneticPr fontId="1"/>
  </si>
  <si>
    <t>090-6860-3723</t>
    <phoneticPr fontId="1"/>
  </si>
  <si>
    <t>仲村　フミ</t>
    <rPh sb="0" eb="2">
      <t>ナカムラ</t>
    </rPh>
    <phoneticPr fontId="1"/>
  </si>
  <si>
    <t>仲村　健二（次男）</t>
    <rPh sb="0" eb="2">
      <t>ナカムラ</t>
    </rPh>
    <rPh sb="3" eb="5">
      <t>ケンジ</t>
    </rPh>
    <rPh sb="6" eb="8">
      <t>ジナン</t>
    </rPh>
    <phoneticPr fontId="1"/>
  </si>
  <si>
    <t>中村　富子</t>
    <rPh sb="0" eb="2">
      <t>ナカムラ</t>
    </rPh>
    <rPh sb="3" eb="5">
      <t>トミコ</t>
    </rPh>
    <phoneticPr fontId="1"/>
  </si>
  <si>
    <t>中村　美智子(夫の妹)</t>
    <rPh sb="0" eb="2">
      <t>ナカムラ</t>
    </rPh>
    <rPh sb="3" eb="6">
      <t>ミチコ</t>
    </rPh>
    <rPh sb="7" eb="8">
      <t>オット</t>
    </rPh>
    <rPh sb="9" eb="10">
      <t>イモウト</t>
    </rPh>
    <phoneticPr fontId="1"/>
  </si>
  <si>
    <t>090-6772-6356</t>
    <phoneticPr fontId="1"/>
  </si>
  <si>
    <t>知念　康行</t>
    <rPh sb="0" eb="2">
      <t>チネン</t>
    </rPh>
    <rPh sb="3" eb="5">
      <t>ヤスユキ</t>
    </rPh>
    <phoneticPr fontId="1"/>
  </si>
  <si>
    <t>知念　美恵(妻)</t>
    <rPh sb="0" eb="2">
      <t>チネン</t>
    </rPh>
    <rPh sb="3" eb="4">
      <t>ビ</t>
    </rPh>
    <rPh sb="4" eb="5">
      <t>メグ</t>
    </rPh>
    <rPh sb="6" eb="7">
      <t>ツマ</t>
    </rPh>
    <phoneticPr fontId="1"/>
  </si>
  <si>
    <t>098-998-6194</t>
    <phoneticPr fontId="1"/>
  </si>
  <si>
    <t>死亡</t>
    <rPh sb="0" eb="2">
      <t>シボウ</t>
    </rPh>
    <phoneticPr fontId="1"/>
  </si>
  <si>
    <t>山城　ヨシ</t>
    <rPh sb="0" eb="2">
      <t>ヤマシロ</t>
    </rPh>
    <phoneticPr fontId="1"/>
  </si>
  <si>
    <t>中村　ミエ子（長女）</t>
    <rPh sb="0" eb="2">
      <t>ナカムラ</t>
    </rPh>
    <rPh sb="5" eb="6">
      <t>コ</t>
    </rPh>
    <rPh sb="7" eb="9">
      <t>チョウジョ</t>
    </rPh>
    <phoneticPr fontId="1"/>
  </si>
  <si>
    <t>山崎　五十鈴</t>
    <rPh sb="0" eb="2">
      <t>ヤマサキ</t>
    </rPh>
    <rPh sb="3" eb="6">
      <t>イスズ</t>
    </rPh>
    <phoneticPr fontId="1"/>
  </si>
  <si>
    <t>山崎　美月(妻)</t>
    <rPh sb="0" eb="2">
      <t>ヤマサキ</t>
    </rPh>
    <rPh sb="3" eb="4">
      <t>ビ</t>
    </rPh>
    <rPh sb="4" eb="5">
      <t>ツキ</t>
    </rPh>
    <rPh sb="6" eb="7">
      <t>ツマ</t>
    </rPh>
    <phoneticPr fontId="1"/>
  </si>
  <si>
    <r>
      <t>大城　ヨシ</t>
    </r>
    <r>
      <rPr>
        <sz val="11"/>
        <color rgb="FFFF0000"/>
        <rFont val="游ゴシック"/>
        <family val="3"/>
        <charset val="128"/>
        <scheme val="minor"/>
      </rPr>
      <t>H</t>
    </r>
    <rPh sb="0" eb="2">
      <t>オオシロ</t>
    </rPh>
    <phoneticPr fontId="1"/>
  </si>
  <si>
    <t>大城　学章（孫）</t>
    <rPh sb="0" eb="2">
      <t>オオシロ</t>
    </rPh>
    <rPh sb="3" eb="4">
      <t>マナ</t>
    </rPh>
    <rPh sb="4" eb="5">
      <t>ショウ</t>
    </rPh>
    <rPh sb="6" eb="7">
      <t>マゴ</t>
    </rPh>
    <phoneticPr fontId="1"/>
  </si>
  <si>
    <t>年</t>
    <rPh sb="0" eb="1">
      <t>ネン</t>
    </rPh>
    <phoneticPr fontId="1"/>
  </si>
  <si>
    <t>月短期入所者生活介護(ショートステイ)利用予定者</t>
    <rPh sb="0" eb="1">
      <t>ガツ</t>
    </rPh>
    <rPh sb="1" eb="3">
      <t>タンキ</t>
    </rPh>
    <rPh sb="3" eb="5">
      <t>ニュウショ</t>
    </rPh>
    <rPh sb="5" eb="6">
      <t>シャ</t>
    </rPh>
    <rPh sb="6" eb="8">
      <t>セイカツ</t>
    </rPh>
    <rPh sb="8" eb="10">
      <t>カイゴ</t>
    </rPh>
    <rPh sb="19" eb="21">
      <t>リヨウ</t>
    </rPh>
    <rPh sb="21" eb="24">
      <t>ヨテイシャ</t>
    </rPh>
    <phoneticPr fontId="1"/>
  </si>
  <si>
    <t>：入浴日</t>
    <rPh sb="1" eb="3">
      <t>ニュウヨク</t>
    </rPh>
    <rPh sb="3" eb="4">
      <t>ビ</t>
    </rPh>
    <phoneticPr fontId="1"/>
  </si>
  <si>
    <t>家族送迎対応：</t>
    <rPh sb="0" eb="2">
      <t>カゾク</t>
    </rPh>
    <rPh sb="2" eb="4">
      <t>ソウゲイ</t>
    </rPh>
    <rPh sb="4" eb="6">
      <t>タイオウ</t>
    </rPh>
    <phoneticPr fontId="1"/>
  </si>
  <si>
    <t>昼・お・夕</t>
    <phoneticPr fontId="1"/>
  </si>
  <si>
    <t>利用日</t>
    <rPh sb="0" eb="2">
      <t>リヨウ</t>
    </rPh>
    <rPh sb="2" eb="3">
      <t>ビ</t>
    </rPh>
    <phoneticPr fontId="1"/>
  </si>
  <si>
    <t>入浴日</t>
    <rPh sb="0" eb="2">
      <t>ニュウヨク</t>
    </rPh>
    <rPh sb="2" eb="3">
      <t>ビ</t>
    </rPh>
    <phoneticPr fontId="1"/>
  </si>
  <si>
    <t>合計</t>
    <rPh sb="0" eb="2">
      <t>ゴウケイ</t>
    </rPh>
    <phoneticPr fontId="1"/>
  </si>
  <si>
    <t>居室</t>
    <rPh sb="0" eb="2">
      <t>キョシツ</t>
    </rPh>
    <phoneticPr fontId="1"/>
  </si>
  <si>
    <t>家族</t>
    <rPh sb="0" eb="2">
      <t>カゾク</t>
    </rPh>
    <phoneticPr fontId="1"/>
  </si>
  <si>
    <t>TEL</t>
    <phoneticPr fontId="1"/>
  </si>
  <si>
    <t>担当</t>
    <rPh sb="0" eb="2">
      <t>タントウ</t>
    </rPh>
    <phoneticPr fontId="1"/>
  </si>
  <si>
    <t>限度額</t>
    <rPh sb="0" eb="3">
      <t>ゲンドガク</t>
    </rPh>
    <phoneticPr fontId="1"/>
  </si>
  <si>
    <t>月初日</t>
    <rPh sb="0" eb="2">
      <t>ゲッショ</t>
    </rPh>
    <rPh sb="2" eb="3">
      <t>ビ</t>
    </rPh>
    <phoneticPr fontId="1"/>
  </si>
  <si>
    <t>昼</t>
    <rPh sb="0" eb="1">
      <t>ヒル</t>
    </rPh>
    <phoneticPr fontId="1"/>
  </si>
  <si>
    <t>○</t>
    <phoneticPr fontId="1"/>
  </si>
  <si>
    <t>お</t>
    <phoneticPr fontId="1"/>
  </si>
  <si>
    <t>夕</t>
    <rPh sb="0" eb="1">
      <t>ユウ</t>
    </rPh>
    <phoneticPr fontId="1"/>
  </si>
  <si>
    <r>
      <t>真</t>
    </r>
    <r>
      <rPr>
        <b/>
        <sz val="13"/>
        <rFont val="游ゴシック"/>
        <family val="3"/>
        <charset val="128"/>
      </rPr>
      <t>志取　タズ</t>
    </r>
    <rPh sb="0" eb="1">
      <t>マ</t>
    </rPh>
    <rPh sb="1" eb="2">
      <t>シ</t>
    </rPh>
    <rPh sb="2" eb="3">
      <t>ト</t>
    </rPh>
    <phoneticPr fontId="1"/>
  </si>
  <si>
    <t>デイ</t>
    <phoneticPr fontId="1"/>
  </si>
  <si>
    <t>真志取　透(長男)</t>
    <rPh sb="0" eb="1">
      <t>マ</t>
    </rPh>
    <rPh sb="1" eb="2">
      <t>シ</t>
    </rPh>
    <rPh sb="2" eb="3">
      <t>ト</t>
    </rPh>
    <rPh sb="4" eb="5">
      <t>トオル</t>
    </rPh>
    <rPh sb="6" eb="8">
      <t>チョウナン</t>
    </rPh>
    <phoneticPr fontId="1"/>
  </si>
  <si>
    <t>転生園：比嘉</t>
    <rPh sb="0" eb="2">
      <t>テンショウ</t>
    </rPh>
    <rPh sb="2" eb="3">
      <t>エン</t>
    </rPh>
    <rPh sb="4" eb="6">
      <t>ヒガ</t>
    </rPh>
    <phoneticPr fontId="1"/>
  </si>
  <si>
    <t>課税</t>
    <rPh sb="0" eb="2">
      <t>カゼイ</t>
    </rPh>
    <phoneticPr fontId="1"/>
  </si>
  <si>
    <t>月末日</t>
    <rPh sb="0" eb="2">
      <t>ゲツマツ</t>
    </rPh>
    <rPh sb="2" eb="3">
      <t>ビ</t>
    </rPh>
    <phoneticPr fontId="1"/>
  </si>
  <si>
    <t>八重瀬包括　下地　</t>
    <rPh sb="0" eb="3">
      <t>ヤエセ</t>
    </rPh>
    <rPh sb="3" eb="5">
      <t>ホウカツ</t>
    </rPh>
    <rPh sb="6" eb="8">
      <t>シモジ</t>
    </rPh>
    <phoneticPr fontId="1"/>
  </si>
  <si>
    <t>大嶺　管</t>
    <rPh sb="0" eb="2">
      <t>オオミネ</t>
    </rPh>
    <rPh sb="3" eb="4">
      <t>スガ</t>
    </rPh>
    <phoneticPr fontId="1"/>
  </si>
  <si>
    <t>S</t>
    <phoneticPr fontId="1"/>
  </si>
  <si>
    <t>大嶺　保範(長男)</t>
    <rPh sb="0" eb="2">
      <t>オオミネ</t>
    </rPh>
    <rPh sb="3" eb="4">
      <t>タモツ</t>
    </rPh>
    <rPh sb="4" eb="5">
      <t>ハン</t>
    </rPh>
    <rPh sb="6" eb="8">
      <t>チョウナン</t>
    </rPh>
    <phoneticPr fontId="1"/>
  </si>
  <si>
    <t>みなみ：島袋</t>
    <rPh sb="4" eb="6">
      <t>シマブクロ</t>
    </rPh>
    <phoneticPr fontId="1"/>
  </si>
  <si>
    <t>居宅あかり　国吉</t>
    <rPh sb="0" eb="2">
      <t>キョタク</t>
    </rPh>
    <rPh sb="6" eb="8">
      <t>クニヨシ</t>
    </rPh>
    <phoneticPr fontId="1"/>
  </si>
  <si>
    <t>大城　好子</t>
    <rPh sb="0" eb="2">
      <t>オオシロ</t>
    </rPh>
    <rPh sb="3" eb="4">
      <t>ス</t>
    </rPh>
    <rPh sb="4" eb="5">
      <t>コ</t>
    </rPh>
    <phoneticPr fontId="1"/>
  </si>
  <si>
    <t>上原　浩昭(甥)</t>
    <rPh sb="0" eb="2">
      <t>ウエハラ</t>
    </rPh>
    <rPh sb="3" eb="4">
      <t>ヒロシ</t>
    </rPh>
    <rPh sb="6" eb="7">
      <t>オイ</t>
    </rPh>
    <phoneticPr fontId="1"/>
  </si>
  <si>
    <t>ときわ：安里</t>
    <rPh sb="4" eb="6">
      <t>アサト</t>
    </rPh>
    <phoneticPr fontId="1"/>
  </si>
  <si>
    <t>3段①</t>
    <rPh sb="1" eb="2">
      <t>ダン</t>
    </rPh>
    <phoneticPr fontId="1"/>
  </si>
  <si>
    <t>転生園　大城</t>
    <rPh sb="0" eb="2">
      <t>テンショウ</t>
    </rPh>
    <rPh sb="2" eb="3">
      <t>エン</t>
    </rPh>
    <rPh sb="4" eb="6">
      <t>オオシロ</t>
    </rPh>
    <phoneticPr fontId="1"/>
  </si>
  <si>
    <t>池原　廣子</t>
    <rPh sb="0" eb="2">
      <t>イケハラ</t>
    </rPh>
    <rPh sb="3" eb="5">
      <t>ヒロコ</t>
    </rPh>
    <phoneticPr fontId="1"/>
  </si>
  <si>
    <t>池原ひろみ(長男嫁)</t>
    <rPh sb="0" eb="2">
      <t>イケハラ</t>
    </rPh>
    <rPh sb="6" eb="8">
      <t>チョウナン</t>
    </rPh>
    <rPh sb="8" eb="9">
      <t>ヨメ</t>
    </rPh>
    <phoneticPr fontId="1"/>
  </si>
  <si>
    <t>ひかり：屋嘉</t>
    <rPh sb="4" eb="6">
      <t>ヤカ</t>
    </rPh>
    <phoneticPr fontId="1"/>
  </si>
  <si>
    <t>金城　トミ</t>
    <rPh sb="0" eb="2">
      <t>キンジョウ</t>
    </rPh>
    <phoneticPr fontId="1"/>
  </si>
  <si>
    <t>金城　利江(長嫁)</t>
    <rPh sb="0" eb="2">
      <t>キンジョウ</t>
    </rPh>
    <rPh sb="3" eb="5">
      <t>トシエ</t>
    </rPh>
    <rPh sb="6" eb="7">
      <t>チョウ</t>
    </rPh>
    <rPh sb="7" eb="8">
      <t>ヨメ</t>
    </rPh>
    <phoneticPr fontId="1"/>
  </si>
  <si>
    <t>仲座よし子</t>
    <rPh sb="0" eb="2">
      <t>ナカザ</t>
    </rPh>
    <rPh sb="4" eb="5">
      <t>コ</t>
    </rPh>
    <phoneticPr fontId="1"/>
  </si>
  <si>
    <t>仲座　悦子(長男嫁)</t>
    <rPh sb="0" eb="2">
      <t>ナカザ</t>
    </rPh>
    <rPh sb="3" eb="5">
      <t>エツコ</t>
    </rPh>
    <rPh sb="6" eb="8">
      <t>チョウナン</t>
    </rPh>
    <rPh sb="8" eb="9">
      <t>ヨメ</t>
    </rPh>
    <phoneticPr fontId="1"/>
  </si>
  <si>
    <t>ときわ：赤嶺</t>
    <rPh sb="4" eb="6">
      <t>アカミネ</t>
    </rPh>
    <phoneticPr fontId="1"/>
  </si>
  <si>
    <t>2段階</t>
    <rPh sb="1" eb="3">
      <t>ダンカイ</t>
    </rPh>
    <phoneticPr fontId="1"/>
  </si>
  <si>
    <t>比嘉　朝江</t>
    <rPh sb="0" eb="2">
      <t>ヒガ</t>
    </rPh>
    <rPh sb="3" eb="4">
      <t>アサ</t>
    </rPh>
    <rPh sb="4" eb="5">
      <t>エ</t>
    </rPh>
    <phoneticPr fontId="1"/>
  </si>
  <si>
    <t>比嘉　徹(長男)</t>
    <rPh sb="0" eb="2">
      <t>ヒガ</t>
    </rPh>
    <rPh sb="3" eb="4">
      <t>トオル</t>
    </rPh>
    <rPh sb="5" eb="7">
      <t>チョウナン</t>
    </rPh>
    <phoneticPr fontId="1"/>
  </si>
  <si>
    <t>ブレイブ：新城</t>
    <rPh sb="5" eb="7">
      <t>アラシロ</t>
    </rPh>
    <phoneticPr fontId="1"/>
  </si>
  <si>
    <t>比屋根　良子</t>
    <rPh sb="0" eb="3">
      <t>ヒヤネ</t>
    </rPh>
    <rPh sb="4" eb="6">
      <t>ヨシコ</t>
    </rPh>
    <phoneticPr fontId="1"/>
  </si>
  <si>
    <t>昼</t>
    <phoneticPr fontId="1"/>
  </si>
  <si>
    <t>比屋根香美(長男嫁)</t>
    <rPh sb="0" eb="3">
      <t>ヒヤネ</t>
    </rPh>
    <rPh sb="3" eb="4">
      <t>カオ</t>
    </rPh>
    <rPh sb="4" eb="5">
      <t>ビ</t>
    </rPh>
    <rPh sb="6" eb="8">
      <t>チョウナン</t>
    </rPh>
    <rPh sb="8" eb="9">
      <t>ヨメ</t>
    </rPh>
    <phoneticPr fontId="1"/>
  </si>
  <si>
    <t>山城　好子</t>
    <rPh sb="0" eb="2">
      <t>ヤマシロ</t>
    </rPh>
    <rPh sb="3" eb="4">
      <t>ス</t>
    </rPh>
    <rPh sb="4" eb="5">
      <t>コ</t>
    </rPh>
    <phoneticPr fontId="1"/>
  </si>
  <si>
    <t>新垣　奈々子(長女)</t>
    <rPh sb="0" eb="2">
      <t>アラカキ</t>
    </rPh>
    <rPh sb="3" eb="5">
      <t>ナナ</t>
    </rPh>
    <rPh sb="5" eb="6">
      <t>コ</t>
    </rPh>
    <rPh sb="7" eb="9">
      <t>チョウジョ</t>
    </rPh>
    <phoneticPr fontId="1"/>
  </si>
  <si>
    <t>1st：中本</t>
    <rPh sb="4" eb="6">
      <t>ナカモト</t>
    </rPh>
    <phoneticPr fontId="1"/>
  </si>
  <si>
    <t>桃原　吉子</t>
    <rPh sb="0" eb="2">
      <t>トウバル</t>
    </rPh>
    <rPh sb="3" eb="5">
      <t>ヨシコ</t>
    </rPh>
    <phoneticPr fontId="1"/>
  </si>
  <si>
    <t>阿部　小夜子(長女)</t>
    <rPh sb="0" eb="2">
      <t>アベ</t>
    </rPh>
    <rPh sb="3" eb="4">
      <t>コ</t>
    </rPh>
    <rPh sb="4" eb="5">
      <t>ヨル</t>
    </rPh>
    <rPh sb="5" eb="6">
      <t>コ</t>
    </rPh>
    <rPh sb="7" eb="9">
      <t>チョウジョ</t>
    </rPh>
    <phoneticPr fontId="1"/>
  </si>
  <si>
    <t>転生園：金城</t>
    <rPh sb="0" eb="2">
      <t>テンショウ</t>
    </rPh>
    <rPh sb="2" eb="3">
      <t>エン</t>
    </rPh>
    <rPh sb="4" eb="6">
      <t>キンジョウ</t>
    </rPh>
    <phoneticPr fontId="1"/>
  </si>
  <si>
    <t>3段②</t>
    <rPh sb="1" eb="2">
      <t>ダン</t>
    </rPh>
    <phoneticPr fontId="1"/>
  </si>
  <si>
    <t>桑江　トミ子</t>
    <rPh sb="0" eb="2">
      <t>クワエ</t>
    </rPh>
    <rPh sb="5" eb="6">
      <t>コ</t>
    </rPh>
    <phoneticPr fontId="1"/>
  </si>
  <si>
    <t>仲地　幸子(義理娘)</t>
    <rPh sb="0" eb="2">
      <t>ナカチ</t>
    </rPh>
    <rPh sb="3" eb="5">
      <t>サチコ</t>
    </rPh>
    <rPh sb="6" eb="8">
      <t>ギリ</t>
    </rPh>
    <rPh sb="8" eb="9">
      <t>ムスメ</t>
    </rPh>
    <phoneticPr fontId="1"/>
  </si>
  <si>
    <t>安里　ハル</t>
    <rPh sb="0" eb="2">
      <t>アサト</t>
    </rPh>
    <phoneticPr fontId="1"/>
  </si>
  <si>
    <t>安谷屋　綾子(三女)</t>
    <rPh sb="0" eb="3">
      <t>アダニヤ</t>
    </rPh>
    <rPh sb="4" eb="5">
      <t>アヤ</t>
    </rPh>
    <rPh sb="5" eb="6">
      <t>コ</t>
    </rPh>
    <rPh sb="7" eb="9">
      <t>サンジョ</t>
    </rPh>
    <phoneticPr fontId="1"/>
  </si>
  <si>
    <t>入院数</t>
    <rPh sb="0" eb="2">
      <t>ニュウイン</t>
    </rPh>
    <rPh sb="2" eb="3">
      <t>スウ</t>
    </rPh>
    <phoneticPr fontId="1"/>
  </si>
  <si>
    <t>居宅ひかり　優里</t>
    <rPh sb="0" eb="2">
      <t>キョタク</t>
    </rPh>
    <rPh sb="6" eb="8">
      <t>ユウリ</t>
    </rPh>
    <phoneticPr fontId="1"/>
  </si>
  <si>
    <t>豊川　千代</t>
    <rPh sb="0" eb="2">
      <t>トヨカワ</t>
    </rPh>
    <rPh sb="3" eb="5">
      <t>チヨ</t>
    </rPh>
    <phoneticPr fontId="1"/>
  </si>
  <si>
    <t>豊川安江(長男嫁)</t>
    <rPh sb="0" eb="2">
      <t>トヨカワ</t>
    </rPh>
    <rPh sb="2" eb="3">
      <t>ヤス</t>
    </rPh>
    <rPh sb="3" eb="4">
      <t>エ</t>
    </rPh>
    <rPh sb="5" eb="7">
      <t>チョウナン</t>
    </rPh>
    <rPh sb="7" eb="8">
      <t>ヨメ</t>
    </rPh>
    <phoneticPr fontId="1"/>
  </si>
  <si>
    <t>徳洲会：久野</t>
    <rPh sb="4" eb="5">
      <t>ヒサ</t>
    </rPh>
    <rPh sb="5" eb="6">
      <t>ノ</t>
    </rPh>
    <phoneticPr fontId="1"/>
  </si>
  <si>
    <t>崎山サヘ子</t>
    <rPh sb="0" eb="2">
      <t>サキヤマ</t>
    </rPh>
    <rPh sb="4" eb="5">
      <t>コ</t>
    </rPh>
    <phoneticPr fontId="1"/>
  </si>
  <si>
    <t>上原千恵子(長女)</t>
    <rPh sb="0" eb="2">
      <t>ウエハラ</t>
    </rPh>
    <rPh sb="2" eb="5">
      <t>チエコ</t>
    </rPh>
    <rPh sb="6" eb="8">
      <t>チョウジョ</t>
    </rPh>
    <phoneticPr fontId="1"/>
  </si>
  <si>
    <t>かりゆし：新城</t>
    <rPh sb="5" eb="7">
      <t>アラシロ</t>
    </rPh>
    <phoneticPr fontId="1"/>
  </si>
  <si>
    <t>塩川　節子</t>
    <rPh sb="0" eb="2">
      <t>シオカワ</t>
    </rPh>
    <rPh sb="3" eb="5">
      <t>セツコ</t>
    </rPh>
    <phoneticPr fontId="1"/>
  </si>
  <si>
    <t>塩川　めぐみ(娘)</t>
    <rPh sb="0" eb="2">
      <t>シオカワ</t>
    </rPh>
    <rPh sb="7" eb="8">
      <t>ムスメ</t>
    </rPh>
    <phoneticPr fontId="1"/>
  </si>
  <si>
    <t>roots：渡久地</t>
    <rPh sb="6" eb="9">
      <t>トグチ</t>
    </rPh>
    <phoneticPr fontId="1"/>
  </si>
  <si>
    <t>大城　キヨ</t>
    <rPh sb="0" eb="2">
      <t>オオシロ</t>
    </rPh>
    <phoneticPr fontId="1"/>
  </si>
  <si>
    <t>金城　直美(五女)</t>
    <rPh sb="0" eb="2">
      <t>キンジョウ</t>
    </rPh>
    <rPh sb="3" eb="5">
      <t>ナオミ</t>
    </rPh>
    <rPh sb="6" eb="8">
      <t>ゴジョ</t>
    </rPh>
    <phoneticPr fontId="1"/>
  </si>
  <si>
    <t>大城　勇盛</t>
    <rPh sb="0" eb="2">
      <t>オオシロ</t>
    </rPh>
    <rPh sb="3" eb="4">
      <t>イサム</t>
    </rPh>
    <rPh sb="4" eb="5">
      <t>モ</t>
    </rPh>
    <phoneticPr fontId="1"/>
  </si>
  <si>
    <t>大城　輝江(長男嫁)</t>
    <rPh sb="0" eb="2">
      <t>オオシロ</t>
    </rPh>
    <rPh sb="3" eb="4">
      <t>カガヤ</t>
    </rPh>
    <rPh sb="4" eb="5">
      <t>エ</t>
    </rPh>
    <rPh sb="6" eb="8">
      <t>チョウナン</t>
    </rPh>
    <rPh sb="8" eb="9">
      <t>ヨメ</t>
    </rPh>
    <phoneticPr fontId="1"/>
  </si>
  <si>
    <t>ときわ：大城</t>
    <rPh sb="4" eb="6">
      <t>オオシロ</t>
    </rPh>
    <phoneticPr fontId="1"/>
  </si>
  <si>
    <t>金城　清一</t>
    <rPh sb="0" eb="2">
      <t>キンジョウ</t>
    </rPh>
    <rPh sb="3" eb="5">
      <t>セイイチ</t>
    </rPh>
    <phoneticPr fontId="1"/>
  </si>
  <si>
    <t>大城　みどり(長女)</t>
    <rPh sb="0" eb="2">
      <t>オオシロ</t>
    </rPh>
    <rPh sb="7" eb="9">
      <t>チョウジョ</t>
    </rPh>
    <phoneticPr fontId="1"/>
  </si>
  <si>
    <t>げんき：菅澤</t>
    <rPh sb="4" eb="6">
      <t>スガサワ</t>
    </rPh>
    <phoneticPr fontId="1"/>
  </si>
  <si>
    <t>伊佐　政子</t>
    <rPh sb="0" eb="2">
      <t>イサ</t>
    </rPh>
    <rPh sb="3" eb="5">
      <t>マサコ</t>
    </rPh>
    <phoneticPr fontId="1"/>
  </si>
  <si>
    <t>大田　清子(次女)</t>
    <rPh sb="0" eb="2">
      <t>オオタ</t>
    </rPh>
    <rPh sb="3" eb="4">
      <t>キヨ</t>
    </rPh>
    <rPh sb="4" eb="5">
      <t>コ</t>
    </rPh>
    <rPh sb="6" eb="8">
      <t>ジジョ</t>
    </rPh>
    <phoneticPr fontId="1"/>
  </si>
  <si>
    <t>平成苑：仲村</t>
    <rPh sb="0" eb="2">
      <t>ヘイセイ</t>
    </rPh>
    <rPh sb="2" eb="3">
      <t>エン</t>
    </rPh>
    <rPh sb="4" eb="6">
      <t>ナカムラ</t>
    </rPh>
    <phoneticPr fontId="1"/>
  </si>
  <si>
    <t>当日利用者数</t>
    <rPh sb="0" eb="2">
      <t>トウジツ</t>
    </rPh>
    <rPh sb="2" eb="6">
      <t>リヨウシャスウ</t>
    </rPh>
    <phoneticPr fontId="1"/>
  </si>
  <si>
    <t>平均利用人数</t>
    <rPh sb="0" eb="2">
      <t>ヘイキン</t>
    </rPh>
    <rPh sb="2" eb="4">
      <t>リヨウ</t>
    </rPh>
    <rPh sb="4" eb="6">
      <t>ニンズウ</t>
    </rPh>
    <phoneticPr fontId="1"/>
  </si>
  <si>
    <t>残り利用数</t>
    <rPh sb="0" eb="1">
      <t>ノコ</t>
    </rPh>
    <rPh sb="2" eb="4">
      <t>リヨウ</t>
    </rPh>
    <rPh sb="4" eb="5">
      <t>スウ</t>
    </rPh>
    <phoneticPr fontId="1"/>
  </si>
  <si>
    <t>平均</t>
    <rPh sb="0" eb="2">
      <t>ヘイキン</t>
    </rPh>
    <phoneticPr fontId="1"/>
  </si>
  <si>
    <t>利用可能床数(残)</t>
    <rPh sb="0" eb="4">
      <t>リヨウカノウ</t>
    </rPh>
    <rPh sb="4" eb="5">
      <t>ショウ</t>
    </rPh>
    <rPh sb="5" eb="6">
      <t>カズ</t>
    </rPh>
    <rPh sb="7" eb="8">
      <t>ザン</t>
    </rPh>
    <phoneticPr fontId="1"/>
  </si>
  <si>
    <t>ショート迎え</t>
    <rPh sb="4" eb="5">
      <t>ムカ</t>
    </rPh>
    <phoneticPr fontId="1"/>
  </si>
  <si>
    <t xml:space="preserve"> </t>
    <phoneticPr fontId="1"/>
  </si>
  <si>
    <t>ショート送り</t>
    <rPh sb="4" eb="5">
      <t>オク</t>
    </rPh>
    <phoneticPr fontId="1"/>
  </si>
  <si>
    <t>入浴</t>
    <rPh sb="0" eb="2">
      <t>ニュウヨク</t>
    </rPh>
    <phoneticPr fontId="1"/>
  </si>
  <si>
    <t>提案</t>
    <rPh sb="0" eb="2">
      <t>テイアン</t>
    </rPh>
    <phoneticPr fontId="1"/>
  </si>
  <si>
    <t>下地　惠子</t>
    <rPh sb="0" eb="2">
      <t>シモジ</t>
    </rPh>
    <rPh sb="3" eb="5">
      <t>ケイコ</t>
    </rPh>
    <phoneticPr fontId="1"/>
  </si>
  <si>
    <t>みなみ：玉那覇</t>
    <rPh sb="4" eb="7">
      <t>タマナハ</t>
    </rPh>
    <phoneticPr fontId="1"/>
  </si>
  <si>
    <t>青木　美智子</t>
    <rPh sb="0" eb="2">
      <t>アオキ</t>
    </rPh>
    <rPh sb="3" eb="6">
      <t>ミチコ</t>
    </rPh>
    <phoneticPr fontId="1"/>
  </si>
  <si>
    <t>イデア：平良</t>
    <rPh sb="4" eb="6">
      <t>タイラ</t>
    </rPh>
    <phoneticPr fontId="1"/>
  </si>
  <si>
    <t>クローバー　翁長</t>
    <rPh sb="6" eb="8">
      <t>オナガ</t>
    </rPh>
    <phoneticPr fontId="1"/>
  </si>
  <si>
    <t>平田直美(孫)</t>
    <rPh sb="0" eb="2">
      <t>ヒラタ</t>
    </rPh>
    <rPh sb="2" eb="4">
      <t>ナオミ</t>
    </rPh>
    <rPh sb="5" eb="6">
      <t>マゴ</t>
    </rPh>
    <phoneticPr fontId="1"/>
  </si>
  <si>
    <t>現状まとめ</t>
    <rPh sb="0" eb="2">
      <t>ゲンジョウ</t>
    </rPh>
    <phoneticPr fontId="1"/>
  </si>
  <si>
    <t>基本情報作成</t>
    <rPh sb="0" eb="2">
      <t>キホン</t>
    </rPh>
    <rPh sb="2" eb="4">
      <t>ジョウホウ</t>
    </rPh>
    <rPh sb="4" eb="6">
      <t>サクセイ</t>
    </rPh>
    <phoneticPr fontId="1"/>
  </si>
  <si>
    <t># 現状まとめ (Gemini入力用)　指示：下記情報の認識をお願いします。
## 基本情報
氏名:
年齢:
性別:
介護度:
認知度:
身体度:
身長：
体重：
## 家族構成
（例：同居家族、別居家族、続柄、キーパーソン、連絡先など）
## 健康状態
既往歴:
服薬管理・処方薬:
かかりつけ医・医療機関との連携:
日々の医療に関する事項:
## 身体状況
麻痺・拘縮:
視力:
聴力:
義歯 (口腔ケア):
## ADL (日常生活動作)
移動:
食事:
排泄:
入浴:
着脱:
整容:
## 認知・コミュニケーション
睡眠:
認知状況:
意思疎通 (言語):
認知症の周辺症状: (例: 徘徊、妄想、幻覚、興奮、暴力、暴言、介護抵抗など)
## 精神状態・性格
現在の性格:
精神状態: (例: 安定、不安、抑うつ、興奮)
特記事項:
## 不安要因 (具体的に)
・
・
・
・
(例: 転倒への不安、病気への不安、家族との関係への不安など)
## 施設情報
施設の種類: (特別養護老人ホーム)
施設の特徴: (従来型、看取り非対応、日常生活支援が主)
利用可能なサービス: (短期入所生活介護)
## 専門スタッフ
医師: (非常勤：嘱託医)
看護師:
介護職員: 
機能訓練員（看護師）
管理栄養士/栄養士:
介護支援専門員 (ケアマネジャー):
生活相談員:
その他: (職種)
---
**現状まとめの見方**
空白部分は、該当する内容がない、または他の情報から推測する必要があることを示します。
## 参照：独自10段階評価定義（最新版）
### **【認知度レベル】**
**1. 完全自立（自立）**：複雑な思考・管理が可能。
**2. 社会的支援必要（Ⅰ）**：会話成立するが新しい事の学習困難、金銭・服薬ミス開始。
**3. IADL低下（Ⅱa）**：家事手順怪しい、火の不始末、季節感のない服装。
**4. ADL影響・軽度（Ⅱb）**：入浴・着替手順曖昧。単独外出リスク（道迷い）。直近記憶欠落。
**5. BPSD出現・初期（Ⅲa）**：物盗られ、拒否、帰宅願望。家族疲弊開始。
**6. 常時見守り・日中（Ⅲa）**：排泄失敗・隠蔽。会話の辻褄合わない。
**7. BPSD激化・夜間（Ⅲb）**：夜間不穏、徘徊顕著。在宅限界ライン。
**8. 意思疎通困難（Ⅳ）**：言葉出にくい、指示入らない。異食リスク。
**9. 反応喪失（Ⅳ）**：自発動なし。呼びかけ反応乏しい。表情で不快読取。
**10. 専門医療管理（M）**：著しい精神症状・自傷他害・重篤せん妄。
### **【身体度レベル】**
**1. 完全自立（J1）**：公共交通・階段利用可。遠出・社会参加活発。
**2. 地域生活自立（J2）**：近隣散歩・買物可。バス電車は不安・付添要。
**3. 屋内自立・屋外介助（A1）**：屋内手すり歩行。屋外車椅子or付添。転倒リスク高。
**4. 屋内一部介助（A2）**：屋内も見守り・介助要。トイレ移動時間要。
**5. 日中座位・移乗自立（B1）**：車椅子メイン。移乗は自力可。日中離床。
**6. 移乗全介助・座位保持（B2）**：移乗全介助。座位は保てる。トイレ立位困難。
**7. 座位保持困難（C1）**：姿勢崩れやすい。食事時リクライニング要。
**8. 寝たきり・寝返り自立（C1）**：一日中ベッド。自力寝返り可。
**9. 寝返り介助（C2）**：自力寝返り不可。体交介助要。拘縮開始。
**10. 完全寝たきり（C2）**：全介助。嚥下廃絶、医療的ケア（吸引・経管）要。
---</t>
    <phoneticPr fontId="1"/>
  </si>
  <si>
    <t>内部参照用プロンプト：利用者 基本情報 要約（A4・箇条書き形式）】
1. 目的:
ユーザーが事前に提供した対象者の詳細情報（アセスメントシート、基本情報リスト、現状まとめ等）に基づき、主要な情報をA4用紙1面に収まるように箇条書き形式で要約し、出力する。ユーザーがコピー＆ペーストしてGoogleドキュメント等で調整少なく利用できる形式を目指す。
2. 参照情報源:
ユーザーから提供された対象者に関する最新の詳細情報。
3. 出力形式・構成:
全体: 見出しと箇条書き（* **項目名:** 内容）を主体とする。表形式は使用しない。
見出し: 以下の主要セクションごとに太字の見出しを設ける（情報の有無や種類に応じて適宜調整）。
利用者基本情報
健康状態
身体状況
ADL（日常生活動作）
認知・精神状態
特記すべきリスク・留意事項
生活環境・社会資源（施設情報、在宅サービス、家族構成等）
関与スタッフ・関係機関
区切り: 各セクション間に区切り線（---）を挿入する。
内容: 各項目を簡潔に記述し、情報全体がA4用紙1枚に収まる分量にまとめる。ADLなど全介助が多い項目は適切に要約する。独自基準のレベル評価があれば、簡単な説明を括弧書きで付記する。
コピー補助: 出力の最初と最後に「(ここからコピー)」「(ここまでコピー)」といった目印を入れる。
4. 包含すべき主要項目（情報の有無に応じて調整）:
氏名, 年齢, 性別, 身長/体重, 住所/連絡先（必要に応じて）, 介護度, 各種受給者証情報（必要に応じて）
認知度レベル・身体度レベル（独自基準や公的基準あれば）
現況（独居/同居, 入院/入所/在宅等）, 家族構成・キーパーソン
既往歴, 現病歴, アレルギー情報
医療管理（服薬管理方法, 経管栄養, 在宅酸素, インスリン, 処置等）, かかりつけ医・連携医療機関, 定期受診状況
身体状況（麻痺/拘縮, 感覚器の状態, 褥瘡, 皮膚状態, 疼痛等）, 口腔状態・ケア方法
ADL（各項目：自立/一部介助/全介助等のレベルと具体的な状況 - 移動, 食事, 排泄, 入浴, 更衣, 整容）
IADL（該当する場合：調理, 掃除, 洗濯, 買い物, 金銭管理, 服薬管理等）
認知機能（記憶力, 見当識, 理解力, 判断力等）, 意思疎通の方法・状況, 睡眠状況
精神状態・性格・情緒, BPSD（あれば具体的な症状と頻度・対応）, 特筆すべき言動・行動
リスク（転倒, 誤嚥, 窒息, 自己抜去, 徘徊, 感染症, 虐待等）, 本人・家族の不安や心配事
住環境（住宅改修, 福祉用具）, 利用中サービス, 社会参加状況, 経済状況（必要に応じて）
主治医, 担当ケアマネジャー, 訪問看護師, ヘルパー, デイサービス担当者, その他関係者</t>
    <phoneticPr fontId="1"/>
  </si>
  <si>
    <t>モニタリング作成</t>
    <rPh sb="6" eb="8">
      <t>サクセイ</t>
    </rPh>
    <phoneticPr fontId="1"/>
  </si>
  <si>
    <t>・薬リスト</t>
    <rPh sb="1" eb="2">
      <t>クスリ</t>
    </rPh>
    <phoneticPr fontId="1"/>
  </si>
  <si>
    <t>モニタリング作成用プロンプト（記述特化・ニーズ個別出力厳守版）
役割設定:
あなたは介護老人福祉施設（特養）のベテランケアマネジャーです。提供された**「施設サービス計画書（第2表）のPDF」と「本人の現状・変化の要約テキスト」**に基づき、専門的なモニタリング記録を作成してください。
入力データ:
添付PDF: 第2表（長期目標・短期目標・サービス内容が記載）
テキスト情報: 基本情報、直近の心身の変化、ケアの実践状況など
作成ルール（厳守事項）:
ニーズごとの完全個別出力（最重要）:
PDFに記載されている「生活全般の解決すべき課題（ニーズ）」が複数ある場合、決して一つにまとめないでください。
たとえ似た内容（例：食事と健康管理、転倒と機能訓練など）であっても、PDFの記載区分（行や枠）に従って、項目を分けて出力してください。
PDFのニーズ数と、出力される【ニーズ①】【ニーズ②】…の数は必ず一致させてください。
出力項目の構成:
「ニーズ名」「目標」を記載した後、すぐに「評価記述（1～4）」を開始してください。
「サービス内容（援助内容）」や「頻度」の箇条書きリストは出力不要です。
専門職としての評価記事:
「現状・変化の要約テキスト」を、該当する各ニーズに適切に振り分けて反映させてください。
文体は「～である」「～している」等の専門職による記録調（常体）で統一してください。
主語は「本人」としてください。
出力フォーマット:
氏名：{{氏名}}
【ニーズ①】 {{PDFの課題内容１}}
目標： {{PDFの短期目標１}}
これまでの目標に対するケア（250字程度）:
（テキスト情報を基に、具体的なケア実践と本人の変化を記述）
施設介護サービスに対する本人、家族の満足度（40字程度）:
（本人の表情や家族の反応・意向を記述）
ケアプラン目標に対しての達成度（80字程度）:
（「完全に達成」「概ね達成」「一部達成」「未達成」から選択し、理由を明記）
モニタリング結果からこれからの施設介護サービス（250字程度）:
（現状を踏まえ、プランの「継続」または「変更」の判断と、今後の具体的な方針を記述）
【ニーズ②】 {{PDFの課題内容２}}
目標： {{PDFの短期目標２}}
（※以下、PDFのニーズ数に合わせて、ニーズ①と同じ構成で「個別」にすべて出力してください。統合は禁止です。）</t>
    <phoneticPr fontId="1"/>
  </si>
  <si>
    <t>【お薬リスト作成用プロンプト】
以下の指示に従って、アップロードした薬剤情報提供書の画像を解析し、A4用紙に印刷しやすい「お薬リスト」を作成してください。
1. 解析のルール:
画像内の「薬品名」「分量・用法」「効能・効果」を正確に抽出すること。
「1日2回 朝夕食後」などの用法を読み取り、服用タイミングごとにグループ化すること。
ハルシネーション（もっともらしい嘘）を避け、画像に記載されている事実のみを抽出すること。
2. 出力フォーマット（以下の形式で出力してください）:
処方薬リスト（[画像の発行日を記載]）
【朝食後】
[薬品名]（[分量]）
[効能・効果の要約]
【昼食後】
（該当があれば記載）
【夕食後】
[薬品名]（[分量]）
[効能・効果の要約]
【寝る前】
[薬品名]（[分量]）
[効能・効果の要約]
【その他・1日1回など】
[薬品名]（[分量]）
[用法（例：1日1回、食間など）]
[効能・効果の要約]
【服用上の注意点】
画像内の「注意」項目から重要なものを箇条書きで抽出。</t>
    <phoneticPr fontId="1"/>
  </si>
  <si>
    <t>アセスメント作成</t>
    <rPh sb="6" eb="8">
      <t>サクセイ</t>
    </rPh>
    <phoneticPr fontId="1"/>
  </si>
  <si>
    <t>・ショートステイ実態調査表</t>
    <rPh sb="8" eb="10">
      <t>ジッタイ</t>
    </rPh>
    <rPh sb="10" eb="13">
      <t>チョウサヒョウ</t>
    </rPh>
    <phoneticPr fontId="1"/>
  </si>
  <si>
    <t>アセスメント作成用プロンプト（23項目完全対応・対外用版）
役割設定: あなたは実務経験豊富なケアマネジャーです。 提供された情報に基づき、法令で定められた**「課題分析標準項目（23項目）」**を網羅したアセスメントシートを作成してください。
入力データ:
基本情報: 氏名、年齢、既往歴、家族構成など
独自判定（内部資料）:
認知度Lv（1～10）: 数値が高いほど重度。
身体度Lv（1～10）: 数値が高いほど重度。 ※この「Lv数値」と「定義」はあくまで内部の目安です。
モニタリング/経過情報: 直近の心身の変化、介護の状況
作成の絶対ルール（重要）:
独自レベルの「翻訳」:
出力するアセスメントシートには、「認知Lv〇」「身体Lv〇」といった独自用語は一切記載しないでください。
代わりに、そのレベルが示す具体的な状態像（例：「意思疎通が困難」「全介助が必要」など）を、誰が読んでも分かる一般的な専門用語で記述してください。
23項目の網羅と構造化:
「課題分析標準項目（23項目）」の内容を漏れなく盛り込み、以下の4つの領域に整理して記述してください。
各領域は**「①現状・能力」「②生活課題・リスク」「③専門職の提案（支援）」**の3点で見やすく箇条書きにしてください。
ニーズの厳選:
ケアプラン第2表の「長期目標」に直結するニーズを、優先順位の高い順に3つ～5つ抽出してください。
出力フォーマット:
氏名： {{氏名}}
【1. 健康・身体機能 領域】 （健康状態、嚥下・栄養、口腔、皮膚・清潔など）
現状・能力:
生活課題・リスク:
専門職の提案:
【2. 生活動作（ADL・IADL） 領域】 （移動、排泄、入浴、整容、着脱、家事、生活リズムなど）
現状・能力:
生活課題・リスク:
専門職の提案:
【3. 認知・精神・意思疎通 領域】 （認知機能、判断能力、意思疎通、BPSD、精神状態など）
現状・能力:
生活課題・リスク:
専門職の提案:
【4. 住環境・社会・家族 領域】 （居住環境、家族状況、介護力、社会参加、経済状況、尊厳・意向など）
現状・能力:
生活課題・リスク:
専門職の提案:
【5. 全体まとめ（300字程度）】 （現在の要介護度や心身の状態、サービス利用状況を、初見の第三者にも伝わるように要約）
【6. 優先ニーズ（最大5つ）】 ニーズ①： [カテゴリー]
本人の想い: （本人の心の内を代弁するシンプルな言葉）
専門的視点: （解決すべき課題と支援の方向性） （※必要数記述）</t>
    <phoneticPr fontId="1"/>
  </si>
  <si>
    <r>
      <t>別途提供される利用者情報に基づき、短期入所生活介護（ショートステイ）の実態調査表および関連情報を以下の要領で作成してください。この情報は、施設職員間で利用者の状況や必要なケアを共有し、適切な対応を依頼するためのものです。
【実態調査票フォーマット】
実態調査表は以下の項目を含めてください。各項目は、提供された情報に基づき、ショートステイの職員が具体的なケアをイメージできるよう、客観的かつ簡潔な記述でお願いします。文字数は通常80字程度を目安としますが、情報が少ない場合は20字程度でも構いません。また、特に重要な留意事項がある場合は、分かりやすさを優先し60字程度まで記述しても構いません。
ショートステイ利用理由：家族の介護負担軽減目的と、施設への泊まり慣れ。外部との関わりで認知症の進行予防を図りたい。
下記の内容から、生活歴、家族関係、社会関係、性格、趣味、を拾い出し文章化してください。それぞれの文字数は１００文字以上でお願いします。
麻痺状態
拘縮状態
言語
視力
聴力
義歯
移動
食事
排泄
入浴
着脱
認知状況
意思疎通
睡眠
性格
既往歴
処方薬（主なもの）
医療ケア
【記述上の留意点】
具体的な介助内容: 移動、排泄、入浴、着脱については、具体的な介助方法や支援内容（例：声かけ、見守り、一部介助、使用福祉用具）を明記してください。利用者の自立性を尊重し、必要な支援に留めることを示してください。
客観性と分かりやすさ: 専門職以外の方も含め、誰が読んでも理解できるよう、客観的かつ平易な言葉遣いを心がけてください。難しい言い回しや専門用語（やむを得ない場合を除く）、および過度な丁寧語（「お話しになる」「〜される」等）は避けてください。
【※厳守事項※】出力する文章全体を通して、利用者名に「様」や「さん」は絶対につけず、必ず「本人」または「利用者」と表記してください。
依頼・協力型の表現: ケアに関する記述は、「〜してください」といった一方的な指示ではなく、「〇〇のため、〜をお願いします」や「〇〇の可能性がありますので、〜のようにご対応ください」といった、理由や状況を示した上で、協力を依頼する形で記述してください。 （例：「〜いただけますでしょうか」ではなく「〜をお願いします」や「〜をご対応ください」とする）
個人情報保護: 個人情報保護に配慮し、ケアに必要な範囲を超える個人情報は記載しないでください。
【その他作成項目】
介護上の留意点: 実態調査表の各項目情報を踏まえ、ショートステイでのケアにおいて特に配慮すべき点を350字程度で具体的にまとめてください。ここでも、上記「依頼・協力型の表現」を用い、チームで協力してケアにあたるための注意喚起や情報共有となるように記述してください。
【※追加指示※】救急時や緊急時の対応方針（家族の意向と施設方針のズレなど、命に関わる重要な連絡事項）が含まれる場合は、文章に埋もれさせず「【</t>
    </r>
    <r>
      <rPr>
        <sz val="8"/>
        <color theme="1"/>
        <rFont val="Segoe UI Symbol"/>
        <family val="3"/>
      </rPr>
      <t>🚨</t>
    </r>
    <r>
      <rPr>
        <sz val="8"/>
        <color theme="1"/>
        <rFont val="游ゴシック"/>
        <family val="3"/>
        <charset val="128"/>
        <scheme val="minor"/>
      </rPr>
      <t>最重要：救急時の対応について】」といった見出しをつけて、視覚的に目立たせて記述してください。
ショートステイ利用理由: 利用者の状況、家族の状況、利用目的などを具体的に含め、ショートステイを利用する理由を200字程度で明確かつ簡潔に記述してください。</t>
    </r>
    <phoneticPr fontId="1"/>
  </si>
  <si>
    <t>ケアプラン作成</t>
    <rPh sb="5" eb="7">
      <t>サクセイ</t>
    </rPh>
    <phoneticPr fontId="1"/>
  </si>
  <si>
    <t>個別支援計画書</t>
    <rPh sb="0" eb="2">
      <t>コベツ</t>
    </rPh>
    <rPh sb="2" eb="7">
      <t>シエンケイカクショ</t>
    </rPh>
    <phoneticPr fontId="1"/>
  </si>
  <si>
    <t>修正版：施設サービス計画書（第2表）作成プロンプト
【役割設定】
あなたは経験豊富な特養のケアマネジャーです。法令・加算要件を満たしつつ、家族にも伝わる平易な言葉で「施設サービス計画書（第2表）」を作成してください。
【入力データ】
基本情報： {{氏名}}、{{年齢}}
アセスメント抽出課題： {{解決すべき課題}}
【作成ルール（厳守）】
言葉選びの基準
「お言葉」「ございます」等の過度な丁寧語、二重敬語、難解な専門用語は一切禁止。
「何をすべきか」が現場スタッフに即座に伝わる平易な表現を用いること。
ニーズ（30～40文字）
[背景・リスク] ＋ [本人の意向・QOL] を繋げて記述。
例：飲み込みが弱く肺炎のリスクがあるが、口から食べて栄養を保ちたい。
目標（20～30文字）
長期目標： 最終的な「あるべき姿」を簡潔に記述。
短期目標： 評価可能な具体的な「状態」や「行動」を記述。
サービス内容（構造化記述の徹底）
A. 具体的なケア内容（箇条書きリスト）
必ず「・」を用いた箇条書きリスト形式で出力すること。
行為を「体言止め（名詞）」で簡潔に記述（1項目10～13文字まで）。
優先度の高い順に5～7つ。
B. 専門職の関与（補足文章）
箇条書きリストの直後に、※記号から始まる文章で記述。
**「職種名」「計画書名（別紙参照）」「具体的な目的」**を盛り込み、1文でシンプルに記述。
別紙として指定できるのは**「栄養マネジメント計画書」と「個別機能訓練計画書」**のみとする。
【出力フォーマット】
氏名： {{氏名}}
【ニーズ①】 [カテゴリー名]
ニーズ文： {{背景と意向を合わせた30～40文字}}
長期目標： {{20～30文字}}
短期目標： {{20～30文字}}
サービス内容：
・{{行為項目1}}
・{{行為項目2}}
・{{行為項目3}}
・{{行為項目4}}
・{{行為項目5}}
※{{職種名}}が作成する{{計画書名}}に基づき、{{具体的な目的}}のための支援を行う（別紙参照）。
（※別紙がない場合は：※{{職種名}}が、{{具体的な目的}}のために専門的な支援を行う。）
（※以下、課題の数だけ繰り返し）</t>
    <phoneticPr fontId="1"/>
  </si>
  <si>
    <t>ショートステイ利用の個別支援計画書の作成支援をお願いします。
上記の情報から、利用目的(150文字程度)・本人、家族の希望(150文字)・主な支援を3つ(それぞれ文字数150文字程度)でお願いします。
＃基本情報
氏名： 
年齢： 
利用目的：
＃本人・家族の希望
#アセスメントシート
食事：
移動： 
排泄：
入浴： 
睡眠： 
整容： 
着脱： 
認知： 
コミュニケーション：</t>
    <rPh sb="31" eb="33">
      <t>ジョウキ</t>
    </rPh>
    <phoneticPr fontId="1"/>
  </si>
  <si>
    <t>課題分析および総合支援</t>
    <rPh sb="0" eb="4">
      <t>カダイブンセキ</t>
    </rPh>
    <rPh sb="7" eb="9">
      <t>ソウゴウ</t>
    </rPh>
    <rPh sb="9" eb="11">
      <t>シエン</t>
    </rPh>
    <phoneticPr fontId="1"/>
  </si>
  <si>
    <t>生活歴</t>
    <rPh sb="0" eb="3">
      <t>セイカツレキ</t>
    </rPh>
    <phoneticPr fontId="1"/>
  </si>
  <si>
    <t>施設サービス計画書（第1表）作成プロンプト
（事実・方針記述版）
【役割設定】
あなたは法令遵守と実務効率を両立させる特養のベテランケアマネジャーです。事実に基づき、ケアの方向性が明確に伝わる「施設サービス計画書（第1表）」を作成してください。
【入力データ】
基本情報： {{氏名}}
アセスメント要約： {{現状、リスク、今後の予測}}
家族・本人の意向： {{聞き取り内容やチャット内の情報}}
【作成ルール（厳守）】
言葉選びの基準
感情的な装飾や冗長な表現（やってる感）は一切禁止。
専門用語は平易な言葉に置き換え、事実と方針を端的に記述する。
尊敬語・謙譲語の多用を避け、簡潔な丁寧語（です・ます）に留める。
利用者及び家族の生活に対する意向
本人の意向： 現在の状態から推測される本人の希望を、簡潔に代弁する。
家族の意向： 聞き取り内容を事実ベースで要約する。
課題分析結果（250文字程度）
「現在の課題」「リスク」「ケアの方向性」を論理的に構成する。
誰が読んでも状況をイメージできる平易な表現を用いる。
総合的な援助の方針（各40文字程度）
第2表の各ニーズ（解決すべき課題）に対応させ、その数だけ箇条書き（・）で記述する。
内容は、第2表の目標やサービス内容を集約したものとする。
文末は**「～します」「～に努めます」**で統一する。
【出力フォーマット】
氏名： {{氏名}}
【利用者及び家族の生活に対する意向】
本人： {{本人の希望を簡潔に記述}}
家族： {{家族の意向を要約、または空欄}}
【課題分析結果】
{{現在の状態、リスク、今後の見通しを、平易な言葉で250文字程度にまとめる}}
【総合的な援助の方針】
・{{ニーズ①（例：食事）への対応方針：～に努めます}}
・{{ニーズ②（例：排泄）への対応方針：～します}}
・{{ニーズ③（例：入浴）への対応方針：～に努めます}}
・{{ニーズ④（例：移動）への対応方針：～します}}
（※第2表のニーズの数だけ繰り返し）</t>
    <phoneticPr fontId="1"/>
  </si>
  <si>
    <t>下記の内容から、生活歴、家族関係、社会関係、性格、趣味、を拾い出し文章化してください。それぞれの文字数は１００文字以上でお願いします。</t>
    <phoneticPr fontId="1"/>
  </si>
  <si>
    <t>担当者会議作成</t>
    <rPh sb="0" eb="3">
      <t>タントウシャ</t>
    </rPh>
    <rPh sb="3" eb="5">
      <t>カイギ</t>
    </rPh>
    <rPh sb="5" eb="7">
      <t>サクセイ</t>
    </rPh>
    <phoneticPr fontId="1"/>
  </si>
  <si>
    <t>【担当者会議議事録作成用プロンプト（実務・中身特化版）】
役割設定: あなたは、論理的かつ要点を押さえた記録作成に長けたベテランケアマネジャーです。 これまでの「モニタリング」「アセスメント」「ケアプラン（1表・2表）」の内容を統合し、実地指導で「多職種連携が機能している」と評価される**担当者会議の議事録（発言・結論部分）**を作成してください。
入力データ: これまでのチャット内にある対象者の全ての情報（特に直近の変化、評価結果、新しいプランの方針）
作成ルール（厳守）:
各専門職の発言:
単なる現状報告で終わらせず、**「モニタリングの結果（成果）」と「新しいプラン（第2表）での役割」**をリンクさせて発言させてください。
専門用語を適切に使用し、職種ごとの視点（看護＝リスク管理、介護＝生活の質など）を明確にしてください。
家族の発言:
専門職の報告を聞いての「安堵」や、提案に対する「同意」の意向を含めてください。
結論:
「原案通り承認された」だけでなく、**「なぜこのプランにするのか（チームの方針）」**を明確に記述してください。
出力フォーマット:
対象者： {{氏名}}
1. 【各専門職の発言要旨】
看護師： {{モニタリング結果（改善点・維持点）を踏まえた医学的評価と、今後のリスク管理方針}}
管理栄養士： {{栄養状態・摂取状況の評価と、食事形態の適切性、今後の食支援方針}}
機能訓練指導員： {{身体機能・拘縮の評価と、ポジショニング等の効果、今後の機能維持方針}}
介護職員： {{日々の生活の様子（BPSDや表情の変化）と、安楽な生活支援の継続について}}
施設ケアマネジャー： {{プラン変更のポイント（目標のシフトなど）と、チーム全体の連携方針}}
2. 【ご家族等の意向】 {{ケアへの感謝、現状への安心感、プランへの同意、本人への想いなど}}
3. 【主な検討項目】
{{アセスメントから導き出された主要な論点}}
{{ケアプラン変更点の確認}}
{{家族への説明と同意}}
4. 【会議の結論】 {{各職種の報告と家族の意向を踏まえ、新しいケアプラン（第1表・第2表）が承認された旨。今後チームとして「何を最優先に取り組むか」という合意事項}}
5. 【残された課題・留意点】
{{長期的なリスク予後}}
{{季節変動や体調急変時の対応フロー確認}}
{{家族との情報共有の工夫}}</t>
    <phoneticPr fontId="1"/>
  </si>
  <si>
    <t>音声文字起こしからの情報抽出プロンプト
以下の「」内をコピーして、AIへの指示（システムプロンプト）としてお使いください。
「
# 目的
提供する音声の文字起こしデータから、介護支援（ケアプラン作成・ショートステイ利用・情報共有）に必要な情報を抽出し、整理してください。
# 出力形式
以下の項目に従って、箇条書きでリスト化してください。
基本情報・家族状況
氏名、年齢、住所、キーパーソン、現在の生活環境、背景（なぜ今支援が必要か）
身体機能・生活動作（ADL）
移動、食事、排泄、入浴、更衣などの自立度や介助の必要性
認知・精神面・コミュニケーション
認知症の症状、記憶力、性格、こだわり、不安に思っていること
医療・健康状態
既往歴、服薬状況（管理方法）、視覚・聴覚の状態
嗜好・習慣・職歴
好きな食べ物、嫌いなもの、趣味、過去の仕事、日課
具体的支援・留意事項
持ち物、送迎時間、サービス利用時の注意点、家族への連絡事項
# 制約事項
専門用語（「独歩」「伝い歩き」「既往」など）を適切に使用し、介護現場で使いやすい表現にすること。
不明な点や、音声の中で曖昧だった部分は「（※要確認）」と付記すること。
ハルシネーション（事実に基づかない創作）を避け、発言内容に忠実に整理すること。
丁寧語（デス・マス調）で出力すること。
# 入力データ
（ここに文字起こしテキストを貼り付ける）
」</t>
    <phoneticPr fontId="1"/>
  </si>
  <si>
    <t>自動実態調査表(自動化)</t>
    <rPh sb="0" eb="2">
      <t>ジドウ</t>
    </rPh>
    <rPh sb="2" eb="4">
      <t>ジッタイ</t>
    </rPh>
    <rPh sb="4" eb="6">
      <t>チョウサ</t>
    </rPh>
    <rPh sb="6" eb="7">
      <t>ヒョウ</t>
    </rPh>
    <rPh sb="8" eb="10">
      <t>ジドウ</t>
    </rPh>
    <rPh sb="10" eb="11">
      <t>カ</t>
    </rPh>
    <phoneticPr fontId="1"/>
  </si>
  <si>
    <r>
      <rPr>
        <sz val="8"/>
        <color theme="1"/>
        <rFont val="Segoe UI Symbol"/>
        <family val="3"/>
      </rPr>
      <t>📋</t>
    </r>
    <r>
      <rPr>
        <sz val="8"/>
        <color theme="1"/>
        <rFont val="Calibri"/>
        <family val="3"/>
      </rPr>
      <t xml:space="preserve"> </t>
    </r>
    <r>
      <rPr>
        <sz val="8"/>
        <color theme="1"/>
        <rFont val="游ゴシック"/>
        <family val="3"/>
        <charset val="128"/>
        <scheme val="minor"/>
      </rPr>
      <t>施設実調・自動ドキュメント作成プロンプト</t>
    </r>
    <r>
      <rPr>
        <sz val="8"/>
        <color theme="1"/>
        <rFont val="Calibri"/>
        <family val="3"/>
      </rPr>
      <t xml:space="preserve">
</t>
    </r>
    <r>
      <rPr>
        <sz val="8"/>
        <color theme="1"/>
        <rFont val="游ゴシック"/>
        <family val="3"/>
        <charset val="128"/>
        <scheme val="minor"/>
      </rPr>
      <t>以下の内容をコピーして、録音の文字起こしテキストと一緒に</t>
    </r>
    <r>
      <rPr>
        <sz val="8"/>
        <color theme="1"/>
        <rFont val="Calibri"/>
        <family val="3"/>
      </rPr>
      <t>AI</t>
    </r>
    <r>
      <rPr>
        <sz val="8"/>
        <color theme="1"/>
        <rFont val="游ゴシック"/>
        <family val="3"/>
        <charset val="128"/>
        <scheme val="minor"/>
      </rPr>
      <t>に貼り付けてください。</t>
    </r>
    <r>
      <rPr>
        <sz val="8"/>
        <color theme="1"/>
        <rFont val="Calibri"/>
        <family val="3"/>
      </rPr>
      <t xml:space="preserve">
</t>
    </r>
    <r>
      <rPr>
        <sz val="8"/>
        <color theme="1"/>
        <rFont val="游ゴシック"/>
        <family val="3"/>
        <charset val="128"/>
        <scheme val="minor"/>
      </rPr>
      <t>指示</t>
    </r>
    <r>
      <rPr>
        <sz val="8"/>
        <color theme="1"/>
        <rFont val="Calibri"/>
        <family val="3"/>
      </rPr>
      <t xml:space="preserve">
</t>
    </r>
    <r>
      <rPr>
        <sz val="8"/>
        <color theme="1"/>
        <rFont val="游ゴシック"/>
        <family val="3"/>
        <charset val="128"/>
        <scheme val="minor"/>
      </rPr>
      <t>あなたは介護施設の支援相談員です。提供する「実態調査の文字起こしデータ」から、施設指定のフォーマット（調査票・個別支援計画書・食事箋）に必要な情報を抽出し、下書きを作成してください。</t>
    </r>
    <r>
      <rPr>
        <sz val="8"/>
        <color theme="1"/>
        <rFont val="Calibri"/>
        <family val="3"/>
      </rPr>
      <t xml:space="preserve">
</t>
    </r>
    <r>
      <rPr>
        <sz val="8"/>
        <color theme="1"/>
        <rFont val="游ゴシック"/>
        <family val="3"/>
        <charset val="128"/>
        <scheme val="minor"/>
      </rPr>
      <t>記述のガイドライン</t>
    </r>
    <r>
      <rPr>
        <sz val="8"/>
        <color theme="1"/>
        <rFont val="Calibri"/>
        <family val="3"/>
      </rPr>
      <t xml:space="preserve">
</t>
    </r>
    <r>
      <rPr>
        <sz val="8"/>
        <color theme="1"/>
        <rFont val="游ゴシック"/>
        <family val="3"/>
        <charset val="128"/>
        <scheme val="minor"/>
      </rPr>
      <t>専門用語の活用</t>
    </r>
    <r>
      <rPr>
        <sz val="8"/>
        <color theme="1"/>
        <rFont val="Calibri"/>
        <family val="3"/>
      </rPr>
      <t xml:space="preserve">: </t>
    </r>
    <r>
      <rPr>
        <sz val="8"/>
        <color theme="1"/>
        <rFont val="游ゴシック"/>
        <family val="3"/>
        <charset val="128"/>
        <scheme val="minor"/>
      </rPr>
      <t>「一動作見守り」「一部介助」「嚥下状態」など、介護現場で共通認識が持てる用語を使用してください。</t>
    </r>
    <r>
      <rPr>
        <sz val="8"/>
        <color theme="1"/>
        <rFont val="Calibri"/>
        <family val="3"/>
      </rPr>
      <t xml:space="preserve">
</t>
    </r>
    <r>
      <rPr>
        <sz val="8"/>
        <color theme="1"/>
        <rFont val="游ゴシック"/>
        <family val="3"/>
        <charset val="128"/>
        <scheme val="minor"/>
      </rPr>
      <t>具体的エピソード</t>
    </r>
    <r>
      <rPr>
        <sz val="8"/>
        <color theme="1"/>
        <rFont val="Calibri"/>
        <family val="3"/>
      </rPr>
      <t xml:space="preserve">: </t>
    </r>
    <r>
      <rPr>
        <sz val="8"/>
        <color theme="1"/>
        <rFont val="游ゴシック"/>
        <family val="3"/>
        <charset val="128"/>
        <scheme val="minor"/>
      </rPr>
      <t>「島での生活」「ゲートボール」など、個別支援計画に必要な本人の強みや生活歴を逃さず記述してください。</t>
    </r>
    <r>
      <rPr>
        <sz val="8"/>
        <color theme="1"/>
        <rFont val="Calibri"/>
        <family val="3"/>
      </rPr>
      <t xml:space="preserve">
</t>
    </r>
    <r>
      <rPr>
        <sz val="8"/>
        <color theme="1"/>
        <rFont val="游ゴシック"/>
        <family val="3"/>
        <charset val="128"/>
        <scheme val="minor"/>
      </rPr>
      <t>リスク管理</t>
    </r>
    <r>
      <rPr>
        <sz val="8"/>
        <color theme="1"/>
        <rFont val="Calibri"/>
        <family val="3"/>
      </rPr>
      <t xml:space="preserve">: </t>
    </r>
    <r>
      <rPr>
        <sz val="8"/>
        <color theme="1"/>
        <rFont val="游ゴシック"/>
        <family val="3"/>
        <charset val="128"/>
        <scheme val="minor"/>
      </rPr>
      <t>転倒、誤嚥、皮膚トラブル、認知症に伴う</t>
    </r>
    <r>
      <rPr>
        <sz val="8"/>
        <color theme="1"/>
        <rFont val="Calibri"/>
        <family val="3"/>
      </rPr>
      <t>BPSD</t>
    </r>
    <r>
      <rPr>
        <sz val="8"/>
        <color theme="1"/>
        <rFont val="游ゴシック"/>
        <family val="3"/>
        <charset val="128"/>
        <scheme val="minor"/>
      </rPr>
      <t>（周辺症状）については、現在の頻度や状況を具体的に書いてください。</t>
    </r>
    <r>
      <rPr>
        <sz val="8"/>
        <color theme="1"/>
        <rFont val="Calibri"/>
        <family val="3"/>
      </rPr>
      <t xml:space="preserve">
</t>
    </r>
    <r>
      <rPr>
        <sz val="8"/>
        <color theme="1"/>
        <rFont val="游ゴシック"/>
        <family val="3"/>
        <charset val="128"/>
        <scheme val="minor"/>
      </rPr>
      <t>推測の排除</t>
    </r>
    <r>
      <rPr>
        <sz val="8"/>
        <color theme="1"/>
        <rFont val="Calibri"/>
        <family val="3"/>
      </rPr>
      <t xml:space="preserve">: </t>
    </r>
    <r>
      <rPr>
        <sz val="8"/>
        <color theme="1"/>
        <rFont val="游ゴシック"/>
        <family val="3"/>
        <charset val="128"/>
        <scheme val="minor"/>
      </rPr>
      <t>録音にない情報を勝手に補完しないでください。不明な点は「※要確認」として残してください。</t>
    </r>
    <r>
      <rPr>
        <sz val="8"/>
        <color theme="1"/>
        <rFont val="Calibri"/>
        <family val="3"/>
      </rPr>
      <t xml:space="preserve">
</t>
    </r>
    <r>
      <rPr>
        <sz val="8"/>
        <color theme="1"/>
        <rFont val="游ゴシック"/>
        <family val="3"/>
        <charset val="128"/>
        <scheme val="minor"/>
      </rPr>
      <t>出力フォーマット</t>
    </r>
    <r>
      <rPr>
        <sz val="8"/>
        <color theme="1"/>
        <rFont val="Calibri"/>
        <family val="3"/>
      </rPr>
      <t xml:space="preserve">
1. </t>
    </r>
    <r>
      <rPr>
        <sz val="8"/>
        <color theme="1"/>
        <rFont val="游ゴシック"/>
        <family val="3"/>
        <charset val="128"/>
        <scheme val="minor"/>
      </rPr>
      <t>調査票セクション（</t>
    </r>
    <r>
      <rPr>
        <sz val="8"/>
        <color theme="1"/>
        <rFont val="Calibri"/>
        <family val="3"/>
      </rPr>
      <t>ADL</t>
    </r>
    <r>
      <rPr>
        <sz val="8"/>
        <color theme="1"/>
        <rFont val="游ゴシック"/>
        <family val="3"/>
        <charset val="128"/>
        <scheme val="minor"/>
      </rPr>
      <t>・心身状況）</t>
    </r>
    <r>
      <rPr>
        <sz val="8"/>
        <color theme="1"/>
        <rFont val="Calibri"/>
        <family val="3"/>
      </rPr>
      <t xml:space="preserve">
</t>
    </r>
    <r>
      <rPr>
        <sz val="8"/>
        <color theme="1"/>
        <rFont val="游ゴシック"/>
        <family val="3"/>
        <charset val="128"/>
        <scheme val="minor"/>
      </rPr>
      <t>基本情報</t>
    </r>
    <r>
      <rPr>
        <sz val="8"/>
        <color theme="1"/>
        <rFont val="Calibri"/>
        <family val="3"/>
      </rPr>
      <t xml:space="preserve">: </t>
    </r>
    <r>
      <rPr>
        <sz val="8"/>
        <color theme="1"/>
        <rFont val="游ゴシック"/>
        <family val="3"/>
        <charset val="128"/>
        <scheme val="minor"/>
      </rPr>
      <t>氏名、要介護度、主要疾患、既往歴</t>
    </r>
    <r>
      <rPr>
        <sz val="8"/>
        <color theme="1"/>
        <rFont val="Calibri"/>
        <family val="3"/>
      </rPr>
      <t xml:space="preserve">
</t>
    </r>
    <r>
      <rPr>
        <sz val="8"/>
        <color theme="1"/>
        <rFont val="游ゴシック"/>
        <family val="3"/>
        <charset val="128"/>
        <scheme val="minor"/>
      </rPr>
      <t>身体機能</t>
    </r>
    <r>
      <rPr>
        <sz val="8"/>
        <color theme="1"/>
        <rFont val="Calibri"/>
        <family val="3"/>
      </rPr>
      <t xml:space="preserve">: </t>
    </r>
    <r>
      <rPr>
        <sz val="8"/>
        <color theme="1"/>
        <rFont val="游ゴシック"/>
        <family val="3"/>
        <charset val="128"/>
        <scheme val="minor"/>
      </rPr>
      <t>移動（車椅子・歩行）、移乗、排泄（おむつ・誘導）、入浴、更衣の介助量</t>
    </r>
    <r>
      <rPr>
        <sz val="8"/>
        <color theme="1"/>
        <rFont val="Calibri"/>
        <family val="3"/>
      </rPr>
      <t xml:space="preserve">
</t>
    </r>
    <r>
      <rPr>
        <sz val="8"/>
        <color theme="1"/>
        <rFont val="游ゴシック"/>
        <family val="3"/>
        <charset val="128"/>
        <scheme val="minor"/>
      </rPr>
      <t>認知・精神面</t>
    </r>
    <r>
      <rPr>
        <sz val="8"/>
        <color theme="1"/>
        <rFont val="Calibri"/>
        <family val="3"/>
      </rPr>
      <t xml:space="preserve">: </t>
    </r>
    <r>
      <rPr>
        <sz val="8"/>
        <color theme="1"/>
        <rFont val="游ゴシック"/>
        <family val="3"/>
        <charset val="128"/>
        <scheme val="minor"/>
      </rPr>
      <t>意思疎通の可否、見当識（時・場所）、</t>
    </r>
    <r>
      <rPr>
        <sz val="8"/>
        <color theme="1"/>
        <rFont val="Calibri"/>
        <family val="3"/>
      </rPr>
      <t>BPSD</t>
    </r>
    <r>
      <rPr>
        <sz val="8"/>
        <color theme="1"/>
        <rFont val="游ゴシック"/>
        <family val="3"/>
        <charset val="128"/>
        <scheme val="minor"/>
      </rPr>
      <t>の有無と内容</t>
    </r>
    <r>
      <rPr>
        <sz val="8"/>
        <color theme="1"/>
        <rFont val="Calibri"/>
        <family val="3"/>
      </rPr>
      <t xml:space="preserve">
</t>
    </r>
    <r>
      <rPr>
        <sz val="8"/>
        <color theme="1"/>
        <rFont val="游ゴシック"/>
        <family val="3"/>
        <charset val="128"/>
        <scheme val="minor"/>
      </rPr>
      <t>リスク</t>
    </r>
    <r>
      <rPr>
        <sz val="8"/>
        <color theme="1"/>
        <rFont val="Calibri"/>
        <family val="3"/>
      </rPr>
      <t xml:space="preserve">: </t>
    </r>
    <r>
      <rPr>
        <sz val="8"/>
        <color theme="1"/>
        <rFont val="游ゴシック"/>
        <family val="3"/>
        <charset val="128"/>
        <scheme val="minor"/>
      </rPr>
      <t>転倒歴、皮膚の状態、アレルギー</t>
    </r>
    <r>
      <rPr>
        <sz val="8"/>
        <color theme="1"/>
        <rFont val="Calibri"/>
        <family val="3"/>
      </rPr>
      <t xml:space="preserve">
2. </t>
    </r>
    <r>
      <rPr>
        <sz val="8"/>
        <color theme="1"/>
        <rFont val="游ゴシック"/>
        <family val="3"/>
        <charset val="128"/>
        <scheme val="minor"/>
      </rPr>
      <t>個別支援計画書セクション（意向・目標）</t>
    </r>
    <r>
      <rPr>
        <sz val="8"/>
        <color theme="1"/>
        <rFont val="Calibri"/>
        <family val="3"/>
      </rPr>
      <t xml:space="preserve">
</t>
    </r>
    <r>
      <rPr>
        <sz val="8"/>
        <color theme="1"/>
        <rFont val="游ゴシック"/>
        <family val="3"/>
        <charset val="128"/>
        <scheme val="minor"/>
      </rPr>
      <t>本人の希望</t>
    </r>
    <r>
      <rPr>
        <sz val="8"/>
        <color theme="1"/>
        <rFont val="Calibri"/>
        <family val="3"/>
      </rPr>
      <t xml:space="preserve">: </t>
    </r>
    <r>
      <rPr>
        <sz val="8"/>
        <color theme="1"/>
        <rFont val="游ゴシック"/>
        <family val="3"/>
        <charset val="128"/>
        <scheme val="minor"/>
      </rPr>
      <t>（例：家に帰りたい、穏やかに過ごしたい等）</t>
    </r>
    <r>
      <rPr>
        <sz val="8"/>
        <color theme="1"/>
        <rFont val="Calibri"/>
        <family val="3"/>
      </rPr>
      <t xml:space="preserve">
</t>
    </r>
    <r>
      <rPr>
        <sz val="8"/>
        <color theme="1"/>
        <rFont val="游ゴシック"/>
        <family val="3"/>
        <charset val="128"/>
        <scheme val="minor"/>
      </rPr>
      <t>家族の意向</t>
    </r>
    <r>
      <rPr>
        <sz val="8"/>
        <color theme="1"/>
        <rFont val="Calibri"/>
        <family val="3"/>
      </rPr>
      <t xml:space="preserve">: </t>
    </r>
    <r>
      <rPr>
        <sz val="8"/>
        <color theme="1"/>
        <rFont val="游ゴシック"/>
        <family val="3"/>
        <charset val="128"/>
        <scheme val="minor"/>
      </rPr>
      <t>（例：負担軽減、最期までお願いしたい等）</t>
    </r>
    <r>
      <rPr>
        <sz val="8"/>
        <color theme="1"/>
        <rFont val="Calibri"/>
        <family val="3"/>
      </rPr>
      <t xml:space="preserve">
</t>
    </r>
    <r>
      <rPr>
        <sz val="8"/>
        <color theme="1"/>
        <rFont val="游ゴシック"/>
        <family val="3"/>
        <charset val="128"/>
        <scheme val="minor"/>
      </rPr>
      <t>解決すべき課題</t>
    </r>
    <r>
      <rPr>
        <sz val="8"/>
        <color theme="1"/>
        <rFont val="Calibri"/>
        <family val="3"/>
      </rPr>
      <t xml:space="preserve">: </t>
    </r>
    <r>
      <rPr>
        <sz val="8"/>
        <color theme="1"/>
        <rFont val="游ゴシック"/>
        <family val="3"/>
        <charset val="128"/>
        <scheme val="minor"/>
      </rPr>
      <t>現在の</t>
    </r>
    <r>
      <rPr>
        <sz val="8"/>
        <color theme="1"/>
        <rFont val="Calibri"/>
        <family val="3"/>
      </rPr>
      <t>ADL</t>
    </r>
    <r>
      <rPr>
        <sz val="8"/>
        <color theme="1"/>
        <rFont val="游ゴシック"/>
        <family val="3"/>
        <charset val="128"/>
        <scheme val="minor"/>
      </rPr>
      <t>低下やリスクに対する課題</t>
    </r>
    <r>
      <rPr>
        <sz val="8"/>
        <color theme="1"/>
        <rFont val="Calibri"/>
        <family val="3"/>
      </rPr>
      <t xml:space="preserve">
</t>
    </r>
    <r>
      <rPr>
        <sz val="8"/>
        <color theme="1"/>
        <rFont val="游ゴシック"/>
        <family val="3"/>
        <charset val="128"/>
        <scheme val="minor"/>
      </rPr>
      <t>支援方針</t>
    </r>
    <r>
      <rPr>
        <sz val="8"/>
        <color theme="1"/>
        <rFont val="Calibri"/>
        <family val="3"/>
      </rPr>
      <t xml:space="preserve">: </t>
    </r>
    <r>
      <rPr>
        <sz val="8"/>
        <color theme="1"/>
        <rFont val="游ゴシック"/>
        <family val="3"/>
        <charset val="128"/>
        <scheme val="minor"/>
      </rPr>
      <t>本人の強みを活かしたアプローチ方法</t>
    </r>
    <r>
      <rPr>
        <sz val="8"/>
        <color theme="1"/>
        <rFont val="Calibri"/>
        <family val="3"/>
      </rPr>
      <t xml:space="preserve">
3. </t>
    </r>
    <r>
      <rPr>
        <sz val="8"/>
        <color theme="1"/>
        <rFont val="游ゴシック"/>
        <family val="3"/>
        <charset val="128"/>
        <scheme val="minor"/>
      </rPr>
      <t>食事箋セクション（栄養・嚥下）</t>
    </r>
    <r>
      <rPr>
        <sz val="8"/>
        <color theme="1"/>
        <rFont val="Calibri"/>
        <family val="3"/>
      </rPr>
      <t xml:space="preserve">
</t>
    </r>
    <r>
      <rPr>
        <sz val="8"/>
        <color theme="1"/>
        <rFont val="游ゴシック"/>
        <family val="3"/>
        <charset val="128"/>
        <scheme val="minor"/>
      </rPr>
      <t>食事形態</t>
    </r>
    <r>
      <rPr>
        <sz val="8"/>
        <color theme="1"/>
        <rFont val="Calibri"/>
        <family val="3"/>
      </rPr>
      <t xml:space="preserve">: </t>
    </r>
    <r>
      <rPr>
        <sz val="8"/>
        <color theme="1"/>
        <rFont val="游ゴシック"/>
        <family val="3"/>
        <charset val="128"/>
        <scheme val="minor"/>
      </rPr>
      <t>主食（軟飯、粥など）、副食（刻み、ムースなど）</t>
    </r>
    <r>
      <rPr>
        <sz val="8"/>
        <color theme="1"/>
        <rFont val="Calibri"/>
        <family val="3"/>
      </rPr>
      <t xml:space="preserve">
</t>
    </r>
    <r>
      <rPr>
        <sz val="8"/>
        <color theme="1"/>
        <rFont val="游ゴシック"/>
        <family val="3"/>
        <charset val="128"/>
        <scheme val="minor"/>
      </rPr>
      <t>摂取方法</t>
    </r>
    <r>
      <rPr>
        <sz val="8"/>
        <color theme="1"/>
        <rFont val="Calibri"/>
        <family val="3"/>
      </rPr>
      <t xml:space="preserve">: </t>
    </r>
    <r>
      <rPr>
        <sz val="8"/>
        <color theme="1"/>
        <rFont val="游ゴシック"/>
        <family val="3"/>
        <charset val="128"/>
        <scheme val="minor"/>
      </rPr>
      <t>自力、一部介助、全介助、自助具の有無</t>
    </r>
    <r>
      <rPr>
        <sz val="8"/>
        <color theme="1"/>
        <rFont val="Calibri"/>
        <family val="3"/>
      </rPr>
      <t xml:space="preserve">
</t>
    </r>
    <r>
      <rPr>
        <sz val="8"/>
        <color theme="1"/>
        <rFont val="游ゴシック"/>
        <family val="3"/>
        <charset val="128"/>
        <scheme val="minor"/>
      </rPr>
      <t>嚥下・咀嚼</t>
    </r>
    <r>
      <rPr>
        <sz val="8"/>
        <color theme="1"/>
        <rFont val="Calibri"/>
        <family val="3"/>
      </rPr>
      <t xml:space="preserve">: </t>
    </r>
    <r>
      <rPr>
        <sz val="8"/>
        <color theme="1"/>
        <rFont val="游ゴシック"/>
        <family val="3"/>
        <charset val="128"/>
        <scheme val="minor"/>
      </rPr>
      <t>むせの有無、義歯の状態、水分（とろみの有無）</t>
    </r>
    <r>
      <rPr>
        <sz val="8"/>
        <color theme="1"/>
        <rFont val="Calibri"/>
        <family val="3"/>
      </rPr>
      <t xml:space="preserve">
</t>
    </r>
    <r>
      <rPr>
        <sz val="8"/>
        <color theme="1"/>
        <rFont val="游ゴシック"/>
        <family val="3"/>
        <charset val="128"/>
        <scheme val="minor"/>
      </rPr>
      <t>実態調査の文字起こしデータ</t>
    </r>
    <r>
      <rPr>
        <sz val="8"/>
        <color theme="1"/>
        <rFont val="Calibri"/>
        <family val="3"/>
      </rPr>
      <t xml:space="preserve">
</t>
    </r>
    <r>
      <rPr>
        <sz val="8"/>
        <color theme="1"/>
        <rFont val="游ゴシック"/>
        <family val="3"/>
        <charset val="128"/>
        <scheme val="minor"/>
      </rPr>
      <t>（ここに録音から起こしたテキストを貼り付けてください）</t>
    </r>
    <phoneticPr fontId="1"/>
  </si>
  <si>
    <t>はい、承知いたしました。最終版の「現状まとめ」雛形を以下に全て出力します。
```
# 現状まとめ (Gemini入力用)　指示：下記情報の認識をお願いします。
## 基本情報
氏名:
年齢:
性別:
介護度:
認知度:
身体度:
身長：
体重：
## 家族構成
（例：同居家族、別居家族、続柄、キーパーソン、連絡先など）
## 健康状態
既往歴:
服薬管理・処方薬:
かかりつけ医・医療機関との連携:
日々の医療に関する事項:
## 身体状況
麻痺・拘縮:
視力:
聴力:
義歯 (口腔ケア):
## ADL (日常生活動作)
移動:
食事:
排泄:
入浴:
着脱:
整容:
## 認知・コミュニケーション
睡眠:
認知状況:
意思疎通 (言語):
認知症の周辺症状: (例: 徘徊、妄想、幻覚、興奮、暴力、暴言、介護抵抗など)
## 精神状態・性格
現在の性格:
精神状態: (例: 安定、不安、抑うつ、興奮)
特記事項:
## 不安要因 (具体的に)
・
・
・
・
(例: 転倒への不安、病気への不安、家族との関係への不安など)
## 施設情報
施設の種類: (例: 特別養護老人ホーム、介護老人保健施設、グループホーム、有料老人ホーム、サービス付き高齢者向け住宅など)
施設の特徴: (例: ユニットケア、従来型、リハビリ強化型、看取り対応など)
利用可能なサービス: (例: 訪問介護、訪問看護、通所介護、通所リハビリ、短期入所生活介護など)
併設サービス: (もしあれば)
## 専門スタッフ
医師: (専門)
看護師:
介護職員: (介護福祉士の割合など)
理学療法士 (PT):
作業療法士 (OT):
言語聴覚士 (ST):
管理栄養士/栄養士:
介護支援専門員 (ケアマネジャー):
社会福祉士/生活相談員:
その他: (職種)
---
**現状まとめの見方**
空白部分は、該当する内容がない、または他の情報から推測する必要があることを示します。
**認知度レベル（10段階評価）** ※独自解釈
公式の「認知症高齢者の日常生活自立度」のⅠ～Mを参考に、より詳細な状態把握を可能にするため、独自に10段階に分類したものです。あくまで目安であり、総合的な判断が必要です。
① 認知機能に問題なし。完全に自立。
 　複雑な問題解決、計画立案、抽象的思考が可能。記憶力も良好。
② 軽微な物忘れ～家庭外での活動に支障（Ⅰ～Ⅱa相当）。
 　約束を忘れることがあるが、メモなどで対応可能。道に迷うことがある。買い物で計算ミスをすることがある。
③ 家庭内でも一部～支障（Ⅱb相当）。
 　服薬管理に一部～全面的介助が必要。簡単な家事（掃除など）はできる場合があるが、留守番時に簡単な電話応対ができない場合がある。
④ 日中の日常生活に一部介護が必要（Ⅲa相当、軽度）。
 　食事や着替えに時間がかかる。簡単な指示は理解できるが、複雑な指示は難しい。
⑤ 日中の日常生活に介護が必要（Ⅲa相当、中程度）。
 　食事、排泄、着替えに一部介助が必要。徘徊、失禁などが見られることがある。発語が減る、または意味の通らない発語が見られることがある。
⑥ 日中を中心とした日常生活に頻繁な介護が必要（Ⅲa相当、重度）。
 　食事、排泄、着替え、入浴など、ほぼ全てのADLに介助が必要。意思疎通が困難になる場合がある。
⑦ 夜間を中心とした日常生活に介護が必要（Ⅲb相当）。
 　夜間の徘徊、不眠、せん妄などが見られる。日中は比較的落ち着いている場合もあるが、介護は必要。
⑧ 日常生活全般に介護が必要（Ⅳ相当、軽度）。
 　常に見守りが必要。意思疎通がほとんどできない。食事、排泄、入浴など、全てにおいて全介助が必要。
⑨ 日常生活全般に介護が必要（Ⅳ相当、中程度）。
 　⑧の状態に加え、身体的な拘縮、嚥下障害などが見られ始める。
⑩ 著しい精神症状や問題行動、または重篤な身体疾患により専門医療が必要（M相当）。
 　せん妄、妄想、興奮、自傷・他害などの症状が見られる。経管栄養、人工呼吸器などの医療的ケアが必要な場合がある。
**身体度レベル（10段階評価）** ※独自解釈（最終版）
公式の「障害高齢者の日常生活自立度」のJ～Cを参考に、より詳細な状態把握を可能にするため、独自に10段階に分類したものです。あくまで目安であり、総合的な判断が必要です。
① 完全自立（J-1相当）:
　日常生活動作（ADL）は完全に自立しており、介助は全く必要ない。公共交通機関を一人で利用し、買い物や通院など、身の回りのことを全て自分で行える。
② ほぼ自立（J-1相当）:
　ADLはほぼ自立しているが、一部の動作に不安がある、または時間がかかる。公共交通機関の利用に少し不安があるが、おおむね一人で利用できる。
③ 一部介助（J-2～A-1軽度相当）:
　屋内での移動はおおむね自立しているが、屋外での移動には付き添いが必要な場合がある。食事、排泄、入浴などのADLに一部介助が必要な場合がある。
④ 屋内移動は一部介助（A-1相当）:
　屋内での移動に見守りや一部介助が必要。屋外への移動は介助が必要。食事、排泄、入浴など、身の回りのことに一部介助が必要。
⑤ 屋内移動は主に介助（A-1～A-2相当）:
　屋内での移動に主に介助が必要。車椅子などを利用している場合が多い。食事、排泄、入浴など、身の回りのことに多くの介助が必要。
⑥ ほぼ全介助（A-2～B-1相当）:
　屋内での移動もほぼ全介助が必要。車椅子からベッドへの移乗などにも介助が必要。食事、排泄、入浴など、身の回りのことのほとんどに介助が必要。
⑦ 一日中座位（B-1相当、寝返り不可）:
　一日の大半をベッドや車椅子で座って過ごす。食事や排泄など、ベッドから離れる動作には介助が必要。自力での寝返りは困難。
⑧ 介助にて寝返り可（B-2～C-1相当）:
　自力での寝返りは困難だが、介助があれば寝返りが可能。食事は介助があればベッド上で可能。排泄はオムツまたは差し込み便器を使用。
⑨ 体位交換が必要（C-1相当）:
　自力での寝返り、介助による寝返りも困難。定期的な体位交換が必要。食事はとろみ食など、特別な形態が必要な場合がある。排泄はオムツ交換が必要。
⑩ 全介助（C-2相当）:
　寝返りを含め、全ての動作に介助が必要。食事、排泄も全てベッド上で全介助。
```
以上が、これまで修正・改良を重ねた最終版の「現状まとめ」雛形です。この雛形が、ケアプラン作成・モニタリング業務の効率化に貢献できれば幸いです。</t>
    <phoneticPr fontId="1"/>
  </si>
  <si>
    <t>課題分析の結果</t>
    <rPh sb="0" eb="2">
      <t>カダイ</t>
    </rPh>
    <rPh sb="2" eb="4">
      <t>ブンセキ</t>
    </rPh>
    <rPh sb="5" eb="7">
      <t>ケッカ</t>
    </rPh>
    <phoneticPr fontId="1"/>
  </si>
  <si>
    <t>※本人の意向や家族からの要望、アセスメントの課題を踏まえ、ケアプランを作成後に本人の状態確認を行いながらモニタリングを取り、状況に応じて対応していく事が必要である。健康維持については医師や看護師との連携を密に行い、日々の生活に関して必要な介護は施設職員で行っていく</t>
    <phoneticPr fontId="1"/>
  </si>
  <si>
    <t>※介護保険の更新手続きは完了しているが、公式な通知がないため、一時的なプランを策定し、要介護度が変更されない限り、本プランとして暫定プランをを適用する。</t>
    <phoneticPr fontId="1"/>
  </si>
  <si>
    <t>介護保険の更新に伴い現在の状況を把握し、本人の望むケアを導き出し現在の課題を設定し、本人の望む施設生活が送れるようにするため。</t>
    <phoneticPr fontId="1"/>
  </si>
  <si>
    <t>※体調異常時は協力病院（南部徳洲会病院）へ受診・若しくは緊急搬送・入院し対応する。</t>
    <phoneticPr fontId="1"/>
  </si>
  <si>
    <t>※現場側での内服管理・内服の封を開け食事・お茶に混ぜ全介助で本人へ飲用の実施。</t>
    <phoneticPr fontId="1"/>
  </si>
  <si>
    <t>※ケアプラン原案に基づき、担当者会議を開催し、関係者と介護サービスなどについて報告・意向確認を行い、修正を加えた後、担当者会議終了後に再度ケアプラン原案を示し合わせ、本人と家族から合意を得てサインを頂きました。</t>
    <phoneticPr fontId="1"/>
  </si>
  <si>
    <t>※特別な状況(リビングウィル)
当施設では、ご入所者様の緊急時における医療措置に関するご意向（リビング・ウィル）について、ご入所時にご家族様と十分な話し合いの機会を設け、詳細な取り決めをさせていただいております。
この取り決めに基づき、ご本人様の意思を尊重した対応を行うため、具体的な医療措置の内容（延命治療の希望の有無など）を記載した同意書を作成いたします。
この同意書は、救急搬送時など、万が一の際に、救急隊員や医師が迅速かつ適切にご本人様の意思に沿った初期対応を行うための重要な情報源となります。特に、ご家族様と速やかに連絡が取れない状況下において、医療チームが一時的な判断を行う上で、この同意書が大きな役割を果たします。
なお、当施設では看取り介護は行っておりません。あくまで、ご家族様と連絡が取れるまでの間の、救急時の初動対応に関する取り決めであることをご理解ください。
ご入所者様とご家族様が安心して施設での生活を送れるよう、緊急時対応についても万全の体制を整えております。</t>
    <phoneticPr fontId="1"/>
  </si>
  <si>
    <t>嘱託医</t>
    <rPh sb="0" eb="3">
      <t>ショクタクイ</t>
    </rPh>
    <phoneticPr fontId="1"/>
  </si>
  <si>
    <t>中村内科胃腸科　住所：沖縄県島尻郡八重瀬町具志頭154-9  電話：098-840-7778</t>
    <rPh sb="0" eb="2">
      <t>ナカムラ</t>
    </rPh>
    <rPh sb="2" eb="4">
      <t>ナイカ</t>
    </rPh>
    <rPh sb="4" eb="7">
      <t>イチョウカ</t>
    </rPh>
    <rPh sb="8" eb="10">
      <t>ジュウショ</t>
    </rPh>
    <rPh sb="31" eb="33">
      <t>デンワ</t>
    </rPh>
    <phoneticPr fontId="1"/>
  </si>
  <si>
    <t>中村内科胃腸科</t>
    <rPh sb="0" eb="2">
      <t>ナカムラ</t>
    </rPh>
    <rPh sb="2" eb="4">
      <t>ナイカ</t>
    </rPh>
    <rPh sb="4" eb="7">
      <t>イチョウカ</t>
    </rPh>
    <phoneticPr fontId="1"/>
  </si>
  <si>
    <t>沖縄県島尻郡八重瀬町具志頭154-9</t>
    <phoneticPr fontId="1"/>
  </si>
  <si>
    <t>098-840-7778</t>
    <phoneticPr fontId="1"/>
  </si>
  <si>
    <t>南部徳洲会病院   住所：沖縄県島尻郡八重瀬町字外間171番地1　電話：098-998-3221</t>
    <rPh sb="10" eb="12">
      <t>ジュウショ</t>
    </rPh>
    <rPh sb="33" eb="35">
      <t>デンワ</t>
    </rPh>
    <phoneticPr fontId="1"/>
  </si>
  <si>
    <t>南部徳洲会病院</t>
    <phoneticPr fontId="1"/>
  </si>
  <si>
    <t>沖縄県島尻郡八重瀬町字外間171番地1</t>
    <phoneticPr fontId="1"/>
  </si>
  <si>
    <t>098-998-3221</t>
    <phoneticPr fontId="1"/>
  </si>
  <si>
    <t>クジラ薬局　住所　沖縄県八重瀬町具志頭154番地10　電話　098-840-7686</t>
    <phoneticPr fontId="1"/>
  </si>
  <si>
    <t>料理、洗濯、掃除、薬の管理、買い物、電話対応などの機能において、個別に行うことが難しい状態です。専門的なケアとサポートを提供し、入居先の快適さと自立心の向上に努めることで、生活の質を高めます。個々のニーズを理解し、適切なケアプランを立てることで、入所者が居心地の良い環境で安心して過ごせるようにサポートします。</t>
    <phoneticPr fontId="1"/>
  </si>
  <si>
    <t>※管理栄養士による栄養計画書作成及び栄養指導：別紙参照</t>
    <phoneticPr fontId="1"/>
  </si>
  <si>
    <t>※機能訓練指導員による機能機能訓練計画書を作成・提供。
別紙、機能訓練計画書参照。</t>
    <phoneticPr fontId="1"/>
  </si>
  <si>
    <t>※家族に状態を報告し、状況に応じて医師による診察を実施。</t>
    <phoneticPr fontId="1"/>
  </si>
  <si>
    <t>※その他、日常生活に必要な全般的な支援</t>
    <phoneticPr fontId="1"/>
  </si>
  <si>
    <t>上原　春子</t>
    <rPh sb="0" eb="2">
      <t>ウエハラ</t>
    </rPh>
    <rPh sb="3" eb="5">
      <t>ハルコ</t>
    </rPh>
    <phoneticPr fontId="1"/>
  </si>
  <si>
    <t>水</t>
    <rPh sb="0" eb="1">
      <t>スイ</t>
    </rPh>
    <phoneticPr fontId="1"/>
  </si>
  <si>
    <t>木</t>
    <rPh sb="0" eb="1">
      <t>モク</t>
    </rPh>
    <phoneticPr fontId="1"/>
  </si>
  <si>
    <t>金</t>
    <rPh sb="0" eb="1">
      <t>カネ</t>
    </rPh>
    <phoneticPr fontId="1"/>
  </si>
  <si>
    <t>S-3</t>
    <phoneticPr fontId="1"/>
  </si>
  <si>
    <t>上原　洋次(夫)</t>
    <rPh sb="0" eb="2">
      <t>ウエハラ</t>
    </rPh>
    <rPh sb="3" eb="5">
      <t>ヨウジ</t>
    </rPh>
    <rPh sb="6" eb="7">
      <t>オット</t>
    </rPh>
    <phoneticPr fontId="1"/>
  </si>
  <si>
    <t>コネクト：仲井真</t>
    <rPh sb="5" eb="8">
      <t>ナカイマ</t>
    </rPh>
    <phoneticPr fontId="1"/>
  </si>
  <si>
    <t>神里　好雄</t>
    <rPh sb="0" eb="2">
      <t>カミザト</t>
    </rPh>
    <rPh sb="3" eb="4">
      <t>ス</t>
    </rPh>
    <rPh sb="4" eb="5">
      <t>オ</t>
    </rPh>
    <phoneticPr fontId="1"/>
  </si>
  <si>
    <t>神里　利恵子(妻)</t>
    <rPh sb="0" eb="2">
      <t>カミザト</t>
    </rPh>
    <rPh sb="3" eb="6">
      <t>リエコ</t>
    </rPh>
    <rPh sb="7" eb="8">
      <t>ツマ</t>
    </rPh>
    <phoneticPr fontId="1"/>
  </si>
  <si>
    <t>ひかり：瑞慶覧</t>
    <rPh sb="4" eb="7">
      <t>ズケラン</t>
    </rPh>
    <phoneticPr fontId="1"/>
  </si>
  <si>
    <t>神谷　栄一</t>
    <rPh sb="0" eb="2">
      <t>カミヤ</t>
    </rPh>
    <rPh sb="3" eb="5">
      <t>エイイチ</t>
    </rPh>
    <phoneticPr fontId="1"/>
  </si>
  <si>
    <t>神谷　真由美(長女)</t>
    <rPh sb="0" eb="2">
      <t>カミヤ</t>
    </rPh>
    <rPh sb="3" eb="6">
      <t>マユミ</t>
    </rPh>
    <rPh sb="7" eb="9">
      <t>チョウジョ</t>
    </rPh>
    <phoneticPr fontId="1"/>
  </si>
  <si>
    <t>玉城　清</t>
    <rPh sb="0" eb="2">
      <t>タマシロ</t>
    </rPh>
    <rPh sb="3" eb="4">
      <t>キヨシ</t>
    </rPh>
    <phoneticPr fontId="1"/>
  </si>
  <si>
    <t>宮里　あけみ(妹)</t>
    <rPh sb="0" eb="2">
      <t>ミヤザト</t>
    </rPh>
    <rPh sb="7" eb="8">
      <t>イモウト</t>
    </rPh>
    <phoneticPr fontId="1"/>
  </si>
  <si>
    <t>みなみ：石川</t>
    <rPh sb="4" eb="6">
      <t>イシカワ</t>
    </rPh>
    <phoneticPr fontId="1"/>
  </si>
  <si>
    <t>1段階</t>
    <rPh sb="1" eb="3">
      <t>ダンカイ</t>
    </rPh>
    <phoneticPr fontId="1"/>
  </si>
  <si>
    <t>知念　キク</t>
    <rPh sb="0" eb="2">
      <t>チネン</t>
    </rPh>
    <phoneticPr fontId="1"/>
  </si>
  <si>
    <t>玉城　明美(長女)</t>
    <rPh sb="0" eb="2">
      <t>タマシロ</t>
    </rPh>
    <rPh sb="3" eb="5">
      <t>アケミ</t>
    </rPh>
    <rPh sb="6" eb="8">
      <t>チョウジョ</t>
    </rPh>
    <phoneticPr fontId="1"/>
  </si>
  <si>
    <t>受診
9時</t>
    <rPh sb="0" eb="2">
      <t>ジュシン</t>
    </rPh>
    <rPh sb="4" eb="5">
      <t>ジ</t>
    </rPh>
    <phoneticPr fontId="1"/>
  </si>
  <si>
    <t>具志堅イク子</t>
    <rPh sb="0" eb="3">
      <t>グシケン</t>
    </rPh>
    <rPh sb="5" eb="6">
      <t>コ</t>
    </rPh>
    <phoneticPr fontId="1"/>
  </si>
  <si>
    <t>具志堅　義正(次男)</t>
    <rPh sb="0" eb="3">
      <t>グシケン</t>
    </rPh>
    <rPh sb="4" eb="5">
      <t>ヨシ</t>
    </rPh>
    <rPh sb="5" eb="6">
      <t>タダ</t>
    </rPh>
    <rPh sb="7" eb="9">
      <t>ジナン</t>
    </rPh>
    <phoneticPr fontId="1"/>
  </si>
  <si>
    <t>伊仲　美津枝</t>
    <rPh sb="0" eb="1">
      <t>イ</t>
    </rPh>
    <rPh sb="1" eb="2">
      <t>ナカ</t>
    </rPh>
    <rPh sb="3" eb="6">
      <t>ミツエ</t>
    </rPh>
    <phoneticPr fontId="1"/>
  </si>
  <si>
    <t>伊中　菖(次男嫁)</t>
    <rPh sb="0" eb="2">
      <t>イナカ</t>
    </rPh>
    <rPh sb="3" eb="4">
      <t>ショウ</t>
    </rPh>
    <rPh sb="5" eb="7">
      <t>ジナン</t>
    </rPh>
    <rPh sb="7" eb="8">
      <t>ヨメ</t>
    </rPh>
    <phoneticPr fontId="1"/>
  </si>
  <si>
    <t>niko糸満：長嶺</t>
    <rPh sb="4" eb="6">
      <t>イトマン</t>
    </rPh>
    <rPh sb="7" eb="9">
      <t>ナガミネ</t>
    </rPh>
    <phoneticPr fontId="1"/>
  </si>
  <si>
    <t>上原　シゲ子</t>
    <rPh sb="0" eb="2">
      <t>ウエハラ</t>
    </rPh>
    <rPh sb="5" eb="6">
      <t>コ</t>
    </rPh>
    <phoneticPr fontId="1"/>
  </si>
  <si>
    <t>知念　理奈(長女)</t>
    <rPh sb="0" eb="2">
      <t>チネン</t>
    </rPh>
    <rPh sb="3" eb="5">
      <t>リナ</t>
    </rPh>
    <rPh sb="6" eb="8">
      <t>チョウジョ</t>
    </rPh>
    <phoneticPr fontId="1"/>
  </si>
  <si>
    <t>いーとまん：潮平</t>
    <rPh sb="6" eb="8">
      <t>シオヒラ</t>
    </rPh>
    <phoneticPr fontId="1"/>
  </si>
  <si>
    <t>仲座　好子(新規)</t>
    <rPh sb="0" eb="2">
      <t>ナカザ</t>
    </rPh>
    <rPh sb="3" eb="4">
      <t>ス</t>
    </rPh>
    <rPh sb="4" eb="5">
      <t>コ</t>
    </rPh>
    <rPh sb="6" eb="8">
      <t>シンキ</t>
    </rPh>
    <phoneticPr fontId="1"/>
  </si>
  <si>
    <t>仲座　学(長男)</t>
    <rPh sb="0" eb="2">
      <t>ナカザ</t>
    </rPh>
    <rPh sb="3" eb="4">
      <t>マナブ</t>
    </rPh>
    <rPh sb="5" eb="7">
      <t>チョウナン</t>
    </rPh>
    <phoneticPr fontId="1"/>
  </si>
  <si>
    <t>大城　トミ(新規)</t>
    <rPh sb="0" eb="2">
      <t>オオシロ</t>
    </rPh>
    <rPh sb="6" eb="8">
      <t>シンキ</t>
    </rPh>
    <phoneticPr fontId="1"/>
  </si>
  <si>
    <t>朝</t>
    <rPh sb="0" eb="1">
      <t>アサ</t>
    </rPh>
    <phoneticPr fontId="1"/>
  </si>
  <si>
    <t>渡邊百合子(次女)</t>
    <rPh sb="0" eb="2">
      <t>ワタベ</t>
    </rPh>
    <rPh sb="2" eb="5">
      <t>ユリコ</t>
    </rPh>
    <rPh sb="6" eb="8">
      <t>ジジョ</t>
    </rPh>
    <phoneticPr fontId="1"/>
  </si>
  <si>
    <t>徳洲会：新垣</t>
    <rPh sb="4" eb="6">
      <t>アラカキ</t>
    </rPh>
    <phoneticPr fontId="1"/>
  </si>
  <si>
    <t>代表回線</t>
    <rPh sb="0" eb="2">
      <t>ダイヒョウ</t>
    </rPh>
    <rPh sb="2" eb="4">
      <t>カイセン</t>
    </rPh>
    <phoneticPr fontId="1"/>
  </si>
  <si>
    <t>支2</t>
    <rPh sb="0" eb="1">
      <t>シ</t>
    </rPh>
    <phoneticPr fontId="1"/>
  </si>
  <si>
    <t>安里　ハル(新規)</t>
    <rPh sb="0" eb="2">
      <t>アサト</t>
    </rPh>
    <rPh sb="6" eb="8">
      <t>シンキ</t>
    </rPh>
    <phoneticPr fontId="1"/>
  </si>
  <si>
    <t>神里　キヨ(新規)</t>
    <rPh sb="0" eb="2">
      <t>カミザト</t>
    </rPh>
    <rPh sb="6" eb="8">
      <t>シンキ</t>
    </rPh>
    <phoneticPr fontId="1"/>
  </si>
  <si>
    <t>伊敷　正子</t>
    <rPh sb="0" eb="2">
      <t>イシキ</t>
    </rPh>
    <rPh sb="3" eb="5">
      <t>マサコ</t>
    </rPh>
    <phoneticPr fontId="1"/>
  </si>
  <si>
    <t>東風の里：末武</t>
    <rPh sb="0" eb="2">
      <t>コチ</t>
    </rPh>
    <rPh sb="3" eb="4">
      <t>サト</t>
    </rPh>
    <rPh sb="5" eb="7">
      <t>スエタケ</t>
    </rPh>
    <phoneticPr fontId="1"/>
  </si>
  <si>
    <t>金</t>
    <rPh sb="0" eb="1">
      <t>キン</t>
    </rPh>
    <phoneticPr fontId="1"/>
  </si>
  <si>
    <t>土</t>
    <rPh sb="0" eb="1">
      <t>ド</t>
    </rPh>
    <phoneticPr fontId="1"/>
  </si>
  <si>
    <t>日</t>
    <rPh sb="0" eb="1">
      <t>ニチ</t>
    </rPh>
    <phoneticPr fontId="1"/>
  </si>
  <si>
    <t>月</t>
    <rPh sb="0" eb="1">
      <t>ゲツ</t>
    </rPh>
    <phoneticPr fontId="1"/>
  </si>
  <si>
    <t>徳洲会：久野</t>
    <rPh sb="0" eb="3">
      <t>トクシュウカイ</t>
    </rPh>
    <rPh sb="4" eb="5">
      <t>ヒサ</t>
    </rPh>
    <rPh sb="5" eb="6">
      <t>ノ</t>
    </rPh>
    <phoneticPr fontId="1"/>
  </si>
  <si>
    <t>098-998-3244</t>
    <phoneticPr fontId="1"/>
  </si>
  <si>
    <t>夕</t>
    <phoneticPr fontId="1"/>
  </si>
  <si>
    <t>受診
8:00</t>
    <rPh sb="0" eb="2">
      <t>ジュシン</t>
    </rPh>
    <phoneticPr fontId="1"/>
  </si>
  <si>
    <t>神里　キヨ</t>
    <rPh sb="0" eb="2">
      <t>カミザト</t>
    </rPh>
    <phoneticPr fontId="1"/>
  </si>
  <si>
    <t>神里　毅(三男)</t>
    <rPh sb="0" eb="2">
      <t>カミザト</t>
    </rPh>
    <rPh sb="3" eb="4">
      <t>ツヨシ</t>
    </rPh>
    <rPh sb="5" eb="7">
      <t>サンナン</t>
    </rPh>
    <phoneticPr fontId="1"/>
  </si>
  <si>
    <t>玉城マリ子(新規)</t>
    <rPh sb="0" eb="2">
      <t>タマシロ</t>
    </rPh>
    <rPh sb="4" eb="5">
      <t>コ</t>
    </rPh>
    <rPh sb="6" eb="8">
      <t>シンキ</t>
    </rPh>
    <phoneticPr fontId="1"/>
  </si>
  <si>
    <t>受診後</t>
    <rPh sb="0" eb="3">
      <t>ジュシンゴ</t>
    </rPh>
    <phoneticPr fontId="1"/>
  </si>
  <si>
    <t>玉城　久恵(長女)</t>
    <rPh sb="0" eb="2">
      <t>タマシロ</t>
    </rPh>
    <rPh sb="3" eb="4">
      <t>ヒサ</t>
    </rPh>
    <rPh sb="4" eb="5">
      <t>メグ</t>
    </rPh>
    <rPh sb="6" eb="8">
      <t>チョウジョ</t>
    </rPh>
    <phoneticPr fontId="1"/>
  </si>
  <si>
    <t>金城　スエ(新規)</t>
    <rPh sb="0" eb="2">
      <t>キンジョウ</t>
    </rPh>
    <rPh sb="6" eb="8">
      <t>シンキ</t>
    </rPh>
    <phoneticPr fontId="1"/>
  </si>
  <si>
    <t>金城　裕美(長女)</t>
    <rPh sb="0" eb="2">
      <t>キンジョウ</t>
    </rPh>
    <rPh sb="3" eb="5">
      <t>ユミ</t>
    </rPh>
    <rPh sb="6" eb="8">
      <t>チョウジョ</t>
    </rPh>
    <phoneticPr fontId="1"/>
  </si>
  <si>
    <t>いーとまん：前田</t>
    <rPh sb="6" eb="7">
      <t>マエ</t>
    </rPh>
    <rPh sb="7" eb="8">
      <t>タ</t>
    </rPh>
    <phoneticPr fontId="1"/>
  </si>
  <si>
    <t>桑江　トミ(新規)</t>
    <rPh sb="0" eb="1">
      <t>クワ</t>
    </rPh>
    <rPh sb="1" eb="2">
      <t>エ</t>
    </rPh>
    <rPh sb="6" eb="8">
      <t>シンキ</t>
    </rPh>
    <phoneticPr fontId="1"/>
  </si>
  <si>
    <t>西平　ゆま子</t>
    <rPh sb="0" eb="2">
      <t>ニシヒラ</t>
    </rPh>
    <rPh sb="5" eb="6">
      <t>コ</t>
    </rPh>
    <phoneticPr fontId="1"/>
  </si>
  <si>
    <t>上地　由美子(長女)</t>
    <rPh sb="0" eb="2">
      <t>ウエチ</t>
    </rPh>
    <rPh sb="3" eb="6">
      <t>ユミコ</t>
    </rPh>
    <rPh sb="7" eb="9">
      <t>チョウジョ</t>
    </rPh>
    <phoneticPr fontId="1"/>
  </si>
  <si>
    <t>病院</t>
    <rPh sb="0" eb="2">
      <t>ビョウイン</t>
    </rPh>
    <phoneticPr fontId="1"/>
  </si>
  <si>
    <t>桑江　トミ子</t>
    <rPh sb="5" eb="6">
      <t>コ</t>
    </rPh>
    <phoneticPr fontId="1"/>
  </si>
  <si>
    <t>知花　重春</t>
    <rPh sb="0" eb="2">
      <t>チバナ</t>
    </rPh>
    <rPh sb="3" eb="5">
      <t>シゲハル</t>
    </rPh>
    <phoneticPr fontId="1"/>
  </si>
  <si>
    <t>知花　朝春(長男)</t>
    <rPh sb="0" eb="2">
      <t>チバナ</t>
    </rPh>
    <rPh sb="3" eb="4">
      <t>アサ</t>
    </rPh>
    <rPh sb="4" eb="5">
      <t>ハル</t>
    </rPh>
    <rPh sb="6" eb="8">
      <t>チョウナン</t>
    </rPh>
    <phoneticPr fontId="1"/>
  </si>
  <si>
    <t>崎浜サヘ子(新規)</t>
    <rPh sb="0" eb="2">
      <t>サキハマ</t>
    </rPh>
    <rPh sb="4" eb="5">
      <t>コ</t>
    </rPh>
    <rPh sb="6" eb="8">
      <t>シンキ</t>
    </rPh>
    <phoneticPr fontId="1"/>
  </si>
  <si>
    <t>我如古 文子(新規)</t>
    <rPh sb="0" eb="3">
      <t>ガネコ</t>
    </rPh>
    <rPh sb="4" eb="5">
      <t>フミ</t>
    </rPh>
    <rPh sb="5" eb="6">
      <t>コ</t>
    </rPh>
    <rPh sb="7" eb="9">
      <t>シンキ</t>
    </rPh>
    <phoneticPr fontId="1"/>
  </si>
  <si>
    <t>我如古美幸(長男嫁)</t>
    <rPh sb="0" eb="3">
      <t>ガネコ</t>
    </rPh>
    <rPh sb="3" eb="4">
      <t>ビ</t>
    </rPh>
    <rPh sb="4" eb="5">
      <t>サチ</t>
    </rPh>
    <rPh sb="6" eb="8">
      <t>チョウナン</t>
    </rPh>
    <rPh sb="8" eb="9">
      <t>ヨメ</t>
    </rPh>
    <phoneticPr fontId="1"/>
  </si>
  <si>
    <t>off-jt:金城</t>
    <rPh sb="7" eb="9">
      <t>キンジョウ</t>
    </rPh>
    <phoneticPr fontId="1"/>
  </si>
  <si>
    <t>神谷　福方(新規)</t>
    <phoneticPr fontId="1"/>
  </si>
  <si>
    <t>神谷　邦彦(次男)</t>
    <rPh sb="0" eb="2">
      <t>カミヤ</t>
    </rPh>
    <rPh sb="3" eb="5">
      <t>クニヒコ</t>
    </rPh>
    <rPh sb="6" eb="8">
      <t>ジナン</t>
    </rPh>
    <phoneticPr fontId="1"/>
  </si>
  <si>
    <t>塩川　節子(新規)</t>
    <rPh sb="0" eb="2">
      <t>シオカワ</t>
    </rPh>
    <rPh sb="3" eb="5">
      <t>セツコ</t>
    </rPh>
    <rPh sb="6" eb="8">
      <t>シンキ</t>
    </rPh>
    <phoneticPr fontId="1"/>
  </si>
  <si>
    <t>島袋　和子(新規)</t>
    <rPh sb="0" eb="2">
      <t>シマブクロ</t>
    </rPh>
    <rPh sb="3" eb="4">
      <t>カズ</t>
    </rPh>
    <rPh sb="4" eb="5">
      <t>コ</t>
    </rPh>
    <rPh sb="6" eb="8">
      <t>シンキ</t>
    </rPh>
    <phoneticPr fontId="1"/>
  </si>
  <si>
    <t>島袋　勝(夫)</t>
    <rPh sb="0" eb="2">
      <t>シマブクロ</t>
    </rPh>
    <rPh sb="3" eb="4">
      <t>マサ</t>
    </rPh>
    <rPh sb="5" eb="6">
      <t>オット</t>
    </rPh>
    <phoneticPr fontId="1"/>
  </si>
  <si>
    <t>野原ヨシ子(新規)</t>
    <rPh sb="0" eb="2">
      <t>ノハラ</t>
    </rPh>
    <rPh sb="4" eb="5">
      <t>コ</t>
    </rPh>
    <rPh sb="6" eb="8">
      <t>シンキ</t>
    </rPh>
    <phoneticPr fontId="1"/>
  </si>
  <si>
    <t>新城　範子(長女)</t>
    <rPh sb="0" eb="2">
      <t>アラシロ</t>
    </rPh>
    <rPh sb="3" eb="5">
      <t>ノリコ</t>
    </rPh>
    <rPh sb="6" eb="8">
      <t>チョウジョ</t>
    </rPh>
    <phoneticPr fontId="1"/>
  </si>
  <si>
    <t>ひかり：重島</t>
    <rPh sb="4" eb="6">
      <t>シゲシマ</t>
    </rPh>
    <phoneticPr fontId="1"/>
  </si>
  <si>
    <t>下地　恵子</t>
    <rPh sb="0" eb="2">
      <t>シモジ</t>
    </rPh>
    <rPh sb="3" eb="5">
      <t>ケイコ</t>
    </rPh>
    <phoneticPr fontId="1"/>
  </si>
  <si>
    <t>下地　功裕(夫)</t>
    <rPh sb="0" eb="2">
      <t>シモジ</t>
    </rPh>
    <rPh sb="3" eb="4">
      <t>イサオ</t>
    </rPh>
    <rPh sb="4" eb="5">
      <t>ユウ</t>
    </rPh>
    <rPh sb="6" eb="7">
      <t>オット</t>
    </rPh>
    <phoneticPr fontId="1"/>
  </si>
  <si>
    <t>上原シゲ子</t>
    <rPh sb="0" eb="2">
      <t>ウエハラ</t>
    </rPh>
    <rPh sb="4" eb="5">
      <t>コ</t>
    </rPh>
    <phoneticPr fontId="1"/>
  </si>
  <si>
    <t>大城　勇盛(新規)</t>
    <rPh sb="0" eb="2">
      <t>オオシロ</t>
    </rPh>
    <rPh sb="3" eb="4">
      <t>イサム</t>
    </rPh>
    <rPh sb="4" eb="5">
      <t>モ</t>
    </rPh>
    <rPh sb="6" eb="8">
      <t>シンキ</t>
    </rPh>
    <phoneticPr fontId="1"/>
  </si>
  <si>
    <t>金城　清一(新規)</t>
    <rPh sb="0" eb="2">
      <t>キンジョウ</t>
    </rPh>
    <rPh sb="3" eb="5">
      <t>セイイチ</t>
    </rPh>
    <rPh sb="6" eb="8">
      <t>シンキ</t>
    </rPh>
    <phoneticPr fontId="1"/>
  </si>
  <si>
    <t>伊佐　政子(新規)</t>
    <rPh sb="0" eb="2">
      <t>イサ</t>
    </rPh>
    <rPh sb="3" eb="5">
      <t>マサコ</t>
    </rPh>
    <rPh sb="6" eb="8">
      <t>シンキ</t>
    </rPh>
    <phoneticPr fontId="1"/>
  </si>
  <si>
    <t>大城　榮(新規)</t>
    <rPh sb="0" eb="2">
      <t>オオシロ</t>
    </rPh>
    <rPh sb="3" eb="4">
      <t>サカエ</t>
    </rPh>
    <rPh sb="5" eb="7">
      <t>シンキ</t>
    </rPh>
    <phoneticPr fontId="1"/>
  </si>
  <si>
    <t>大城　まりこ</t>
    <rPh sb="0" eb="2">
      <t>オオシロ</t>
    </rPh>
    <phoneticPr fontId="1"/>
  </si>
  <si>
    <t>外間　年子</t>
    <rPh sb="0" eb="2">
      <t>ホカマ</t>
    </rPh>
    <rPh sb="3" eb="4">
      <t>トシ</t>
    </rPh>
    <rPh sb="4" eb="5">
      <t>コ</t>
    </rPh>
    <phoneticPr fontId="1"/>
  </si>
  <si>
    <t>桑江　良治</t>
    <rPh sb="0" eb="2">
      <t>クワエ</t>
    </rPh>
    <rPh sb="3" eb="5">
      <t>リョウジ</t>
    </rPh>
    <phoneticPr fontId="1"/>
  </si>
  <si>
    <t>儀保　徳明(新規)</t>
    <rPh sb="0" eb="2">
      <t>ギボ</t>
    </rPh>
    <rPh sb="3" eb="4">
      <t>トク</t>
    </rPh>
    <rPh sb="4" eb="5">
      <t>アキ</t>
    </rPh>
    <rPh sb="6" eb="8">
      <t>シンキ</t>
    </rPh>
    <phoneticPr fontId="1"/>
  </si>
  <si>
    <t>大城　榮</t>
    <rPh sb="0" eb="2">
      <t>オオシロ</t>
    </rPh>
    <rPh sb="3" eb="4">
      <t>サカエ</t>
    </rPh>
    <phoneticPr fontId="1"/>
  </si>
  <si>
    <t>桑江　良治</t>
    <rPh sb="0" eb="2">
      <t>クワエ</t>
    </rPh>
    <rPh sb="3" eb="4">
      <t>ヨ</t>
    </rPh>
    <rPh sb="4" eb="5">
      <t>ハル</t>
    </rPh>
    <phoneticPr fontId="1"/>
  </si>
  <si>
    <t>2段階</t>
    <phoneticPr fontId="1"/>
  </si>
  <si>
    <t>古堅　宗一</t>
    <rPh sb="0" eb="2">
      <t>フルゲン</t>
    </rPh>
    <rPh sb="3" eb="4">
      <t>ソウ</t>
    </rPh>
    <rPh sb="4" eb="5">
      <t>イチ</t>
    </rPh>
    <phoneticPr fontId="1"/>
  </si>
  <si>
    <t>２段階</t>
    <rPh sb="1" eb="3">
      <t>ダンカイ</t>
    </rPh>
    <phoneticPr fontId="1"/>
  </si>
  <si>
    <t>S-5</t>
    <phoneticPr fontId="1"/>
  </si>
  <si>
    <t>2段階</t>
    <rPh sb="1" eb="3">
      <t>ダ</t>
    </rPh>
    <phoneticPr fontId="1"/>
  </si>
  <si>
    <t>２段階</t>
    <rPh sb="1" eb="3">
      <t>ダン</t>
    </rPh>
    <phoneticPr fontId="1"/>
  </si>
  <si>
    <t>儀保　美津江</t>
    <rPh sb="0" eb="2">
      <t>ギボ</t>
    </rPh>
    <rPh sb="3" eb="4">
      <t>ビ</t>
    </rPh>
    <rPh sb="4" eb="5">
      <t>ツ</t>
    </rPh>
    <rPh sb="5" eb="6">
      <t>エ</t>
    </rPh>
    <phoneticPr fontId="1"/>
  </si>
  <si>
    <t>うらうら：末武</t>
    <rPh sb="5" eb="7">
      <t>スエタケ</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</si>
</sst>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411]ge\.m\.d;@"/>
    <numFmt numFmtId="177" formatCode="000\-0000\-0000"/>
    <numFmt numFmtId="178" formatCode="m"/>
    <numFmt numFmtId="179" formatCode="0.0_ "/>
    <numFmt numFmtId="180" formatCode="d"/>
    <numFmt numFmtId="181" formatCode="0_ "/>
    <numFmt numFmtId="182" formatCode="0_);[Red]\(0\)"/>
  </numFmts>
  <fonts count="41" x14ac:knownFonts="1">
    <font>
      <sz val="11"/>
      <color theme="1"/>
      <name val="游ゴシック"/>
      <family val="2"/>
      <charset val="128"/>
      <scheme val="minor"/>
    </font>
    <font>
      <sz val="6"/>
      <name val="游ゴシック"/>
      <family val="2"/>
      <charset val="128"/>
      <scheme val="minor"/>
    </font>
    <font>
      <sz val="10"/>
      <color theme="1"/>
      <name val="游ゴシック"/>
      <family val="2"/>
      <charset val="128"/>
      <scheme val="minor"/>
    </font>
    <font>
      <sz val="9"/>
      <color theme="1"/>
      <name val="游ゴシック"/>
      <family val="3"/>
      <charset val="128"/>
      <scheme val="minor"/>
    </font>
    <font>
      <sz val="8"/>
      <color theme="1"/>
      <name val="游ゴシック"/>
      <family val="3"/>
      <charset val="128"/>
      <scheme val="minor"/>
    </font>
    <font>
      <sz val="11"/>
      <color theme="1"/>
      <name val="游ゴシック"/>
      <family val="3"/>
      <charset val="128"/>
      <scheme val="minor"/>
    </font>
    <font>
      <sz val="9"/>
      <color theme="1"/>
      <name val="游ゴシック"/>
      <family val="2"/>
      <charset val="128"/>
      <scheme val="minor"/>
    </font>
    <font>
      <sz val="11"/>
      <color theme="1"/>
      <name val="游ゴシック"/>
      <family val="2"/>
      <charset val="128"/>
    </font>
    <font>
      <b/>
      <sz val="16"/>
      <color theme="1"/>
      <name val="游ゴシック"/>
      <family val="3"/>
      <charset val="128"/>
      <scheme val="minor"/>
    </font>
    <font>
      <sz val="16"/>
      <color theme="1"/>
      <name val="游ゴシック"/>
      <family val="2"/>
      <charset val="128"/>
      <scheme val="minor"/>
    </font>
    <font>
      <b/>
      <sz val="11"/>
      <color theme="1"/>
      <name val="游ゴシック"/>
      <family val="3"/>
      <charset val="128"/>
      <scheme val="minor"/>
    </font>
    <font>
      <sz val="11"/>
      <color rgb="FFFF0000"/>
      <name val="游ゴシック"/>
      <family val="3"/>
      <charset val="128"/>
      <scheme val="minor"/>
    </font>
    <font>
      <b/>
      <sz val="8"/>
      <color theme="1"/>
      <name val="游ゴシック"/>
      <family val="3"/>
      <charset val="128"/>
      <scheme val="minor"/>
    </font>
    <font>
      <b/>
      <sz val="10"/>
      <color theme="1"/>
      <name val="游ゴシック"/>
      <family val="3"/>
      <charset val="128"/>
      <scheme val="minor"/>
    </font>
    <font>
      <b/>
      <sz val="11"/>
      <name val="游ゴシック"/>
      <family val="3"/>
      <charset val="128"/>
      <scheme val="minor"/>
    </font>
    <font>
      <b/>
      <sz val="9"/>
      <color theme="1"/>
      <name val="游ゴシック"/>
      <family val="3"/>
      <charset val="128"/>
      <scheme val="minor"/>
    </font>
    <font>
      <b/>
      <sz val="20"/>
      <color theme="1"/>
      <name val="游ゴシック"/>
      <family val="3"/>
      <charset val="128"/>
      <scheme val="minor"/>
    </font>
    <font>
      <b/>
      <sz val="11"/>
      <color rgb="FFFF0000"/>
      <name val="游ゴシック"/>
      <family val="3"/>
      <charset val="128"/>
      <scheme val="minor"/>
    </font>
    <font>
      <b/>
      <sz val="14"/>
      <color theme="1"/>
      <name val="游ゴシック"/>
      <family val="3"/>
      <charset val="128"/>
      <scheme val="minor"/>
    </font>
    <font>
      <b/>
      <sz val="14"/>
      <color rgb="FFFF0000"/>
      <name val="游ゴシック"/>
      <family val="3"/>
      <charset val="128"/>
      <scheme val="minor"/>
    </font>
    <font>
      <b/>
      <sz val="13"/>
      <color theme="1"/>
      <name val="游ゴシック"/>
      <family val="3"/>
      <charset val="128"/>
      <scheme val="minor"/>
    </font>
    <font>
      <b/>
      <sz val="13"/>
      <name val="游ゴシック"/>
      <family val="3"/>
      <charset val="128"/>
      <scheme val="minor"/>
    </font>
    <font>
      <b/>
      <sz val="13"/>
      <color rgb="FFFF0000"/>
      <name val="游ゴシック"/>
      <family val="3"/>
      <charset val="128"/>
      <scheme val="minor"/>
    </font>
    <font>
      <b/>
      <sz val="12"/>
      <name val="游ゴシック"/>
      <family val="3"/>
      <charset val="128"/>
      <scheme val="minor"/>
    </font>
    <font>
      <sz val="11"/>
      <color theme="1"/>
      <name val="游ゴシック"/>
      <family val="3"/>
      <charset val="128"/>
    </font>
    <font>
      <sz val="11"/>
      <color rgb="FF374151"/>
      <name val="游ゴシック"/>
      <family val="3"/>
      <charset val="128"/>
    </font>
    <font>
      <sz val="10"/>
      <color rgb="FF343541"/>
      <name val="游ゴシック"/>
      <family val="3"/>
      <charset val="128"/>
    </font>
    <font>
      <sz val="11"/>
      <color rgb="FF555555"/>
      <name val="游ゴシック"/>
      <family val="3"/>
      <charset val="128"/>
      <scheme val="minor"/>
    </font>
    <font>
      <b/>
      <sz val="14"/>
      <color theme="1"/>
      <name val="游ゴシック"/>
      <family val="3"/>
      <charset val="128"/>
    </font>
    <font>
      <b/>
      <sz val="12"/>
      <color theme="1"/>
      <name val="游ゴシック"/>
      <family val="3"/>
      <charset val="128"/>
    </font>
    <font>
      <sz val="8"/>
      <color theme="1"/>
      <name val="游ゴシック"/>
      <family val="2"/>
      <charset val="128"/>
      <scheme val="minor"/>
    </font>
    <font>
      <b/>
      <sz val="13"/>
      <name val="游ゴシック"/>
      <family val="3"/>
      <charset val="128"/>
    </font>
    <font>
      <b/>
      <sz val="7"/>
      <color theme="1"/>
      <name val="游ゴシック"/>
      <family val="3"/>
      <charset val="128"/>
      <scheme val="minor"/>
    </font>
    <font>
      <b/>
      <sz val="12"/>
      <color theme="1"/>
      <name val="游ゴシック"/>
      <family val="3"/>
      <charset val="128"/>
      <scheme val="minor"/>
    </font>
    <font>
      <b/>
      <sz val="6"/>
      <color rgb="FFFF0000"/>
      <name val="游ゴシック"/>
      <family val="3"/>
      <charset val="128"/>
      <scheme val="minor"/>
    </font>
    <font>
      <b/>
      <sz val="13"/>
      <color rgb="FFC00000"/>
      <name val="游ゴシック"/>
      <family val="3"/>
      <charset val="128"/>
      <scheme val="minor"/>
    </font>
    <font>
      <sz val="8"/>
      <color theme="1"/>
      <name val="Segoe UI Symbol"/>
      <family val="3"/>
    </font>
    <font>
      <sz val="8"/>
      <color theme="1"/>
      <name val="Calibri"/>
      <family val="3"/>
    </font>
    <font>
      <b/>
      <sz val="13"/>
      <color theme="0"/>
      <name val="游ゴシック"/>
      <family val="3"/>
      <charset val="128"/>
      <scheme val="minor"/>
    </font>
    <font>
      <b/>
      <sz val="13"/>
      <color theme="2" tint="-9.9978637043366805E-2"/>
      <name val="游ゴシック"/>
      <family val="3"/>
      <charset val="128"/>
      <scheme val="minor"/>
    </font>
    <font>
      <b/>
      <sz val="13"/>
      <color theme="2" tint="-0.249977111117893"/>
      <name val="游ゴシック"/>
      <family val="3"/>
      <charset val="128"/>
      <scheme val="minor"/>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FCCFF"/>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205">
    <xf numFmtId="0" fontId="0" fillId="0" borderId="0" xfId="0">
      <alignment vertical="center"/>
    </xf>
    <xf numFmtId="0" fontId="0" fillId="0" borderId="0" xfId="0" applyAlignment="1">
      <alignment horizontal="center" vertical="center"/>
    </xf>
    <xf numFmtId="0" fontId="3" fillId="0" borderId="0" xfId="0" applyFont="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left" vertical="center"/>
    </xf>
    <xf numFmtId="0" fontId="0" fillId="0" borderId="0" xfId="0" applyAlignment="1">
      <alignment horizontal="left" vertical="center"/>
    </xf>
    <xf numFmtId="0" fontId="0" fillId="0" borderId="1" xfId="0" applyBorder="1">
      <alignment vertical="center"/>
    </xf>
    <xf numFmtId="0" fontId="0" fillId="0" borderId="3" xfId="0" applyBorder="1" applyAlignment="1">
      <alignment horizontal="left" vertical="center"/>
    </xf>
    <xf numFmtId="0" fontId="0" fillId="0" borderId="2" xfId="0" applyBorder="1" applyAlignment="1">
      <alignment horizontal="left" vertical="center"/>
    </xf>
    <xf numFmtId="57" fontId="3" fillId="0" borderId="1" xfId="0" applyNumberFormat="1" applyFont="1" applyBorder="1" applyAlignment="1">
      <alignment horizontal="center" vertical="center"/>
    </xf>
    <xf numFmtId="57" fontId="3" fillId="0" borderId="3" xfId="0" applyNumberFormat="1" applyFont="1" applyBorder="1" applyAlignment="1">
      <alignment horizontal="center" vertical="center"/>
    </xf>
    <xf numFmtId="57" fontId="3" fillId="0" borderId="2" xfId="0" applyNumberFormat="1"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176" fontId="6" fillId="0" borderId="1" xfId="0" applyNumberFormat="1"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0" fontId="0" fillId="0" borderId="3" xfId="0" applyBorder="1">
      <alignment vertical="center"/>
    </xf>
    <xf numFmtId="0" fontId="0" fillId="0" borderId="2" xfId="0" applyBorder="1">
      <alignment vertical="center"/>
    </xf>
    <xf numFmtId="177" fontId="0" fillId="0" borderId="1" xfId="0" applyNumberFormat="1" applyBorder="1" applyAlignment="1">
      <alignment horizontal="center" vertical="center"/>
    </xf>
    <xf numFmtId="177" fontId="0" fillId="0" borderId="2" xfId="0" applyNumberFormat="1" applyBorder="1" applyAlignment="1">
      <alignment horizontal="center" vertical="center"/>
    </xf>
    <xf numFmtId="177" fontId="0" fillId="0" borderId="3" xfId="0" applyNumberFormat="1" applyBorder="1" applyAlignment="1">
      <alignment horizontal="center" vertical="center"/>
    </xf>
    <xf numFmtId="178" fontId="4" fillId="2" borderId="1" xfId="0" applyNumberFormat="1" applyFont="1" applyFill="1" applyBorder="1" applyAlignment="1">
      <alignment horizontal="center" vertical="center"/>
    </xf>
    <xf numFmtId="57" fontId="3" fillId="3" borderId="3" xfId="0" applyNumberFormat="1" applyFont="1" applyFill="1" applyBorder="1" applyAlignment="1">
      <alignment horizontal="center" vertical="center"/>
    </xf>
    <xf numFmtId="176" fontId="6" fillId="3" borderId="3" xfId="0" applyNumberFormat="1" applyFont="1" applyFill="1" applyBorder="1" applyAlignment="1">
      <alignment horizontal="center" vertical="center"/>
    </xf>
    <xf numFmtId="0" fontId="0" fillId="3" borderId="3" xfId="0" applyFill="1" applyBorder="1">
      <alignment vertical="center"/>
    </xf>
    <xf numFmtId="177" fontId="0" fillId="3" borderId="3" xfId="0" applyNumberFormat="1" applyFill="1" applyBorder="1" applyAlignment="1">
      <alignment horizontal="center" vertical="center"/>
    </xf>
    <xf numFmtId="9" fontId="0" fillId="0" borderId="0" xfId="0" applyNumberFormat="1">
      <alignment vertical="center"/>
    </xf>
    <xf numFmtId="0" fontId="2" fillId="0" borderId="0" xfId="0" applyFont="1" applyAlignment="1">
      <alignment horizontal="center" vertical="center"/>
    </xf>
    <xf numFmtId="177" fontId="0" fillId="0" borderId="0" xfId="0" applyNumberFormat="1" applyAlignment="1">
      <alignment horizontal="center" vertical="center"/>
    </xf>
    <xf numFmtId="0" fontId="8" fillId="0" borderId="5" xfId="0" applyFont="1" applyBorder="1">
      <alignment vertical="center"/>
    </xf>
    <xf numFmtId="0" fontId="10" fillId="0" borderId="0" xfId="0" applyFont="1">
      <alignment vertical="center"/>
    </xf>
    <xf numFmtId="178" fontId="12" fillId="0" borderId="0" xfId="0" applyNumberFormat="1"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xf>
    <xf numFmtId="176" fontId="3" fillId="2" borderId="1" xfId="0" applyNumberFormat="1" applyFont="1" applyFill="1" applyBorder="1" applyAlignment="1">
      <alignment horizontal="center" vertical="center"/>
    </xf>
    <xf numFmtId="176" fontId="8" fillId="0" borderId="5" xfId="0" applyNumberFormat="1" applyFont="1" applyBorder="1">
      <alignment vertical="center"/>
    </xf>
    <xf numFmtId="176" fontId="0" fillId="0" borderId="0" xfId="0" applyNumberFormat="1" applyAlignment="1">
      <alignment horizontal="center" vertical="center"/>
    </xf>
    <xf numFmtId="0" fontId="9" fillId="0" borderId="0" xfId="0" applyFont="1" applyAlignment="1">
      <alignment horizontal="centerContinuous" vertical="center"/>
    </xf>
    <xf numFmtId="0" fontId="0" fillId="0" borderId="0" xfId="0" applyAlignment="1">
      <alignment horizontal="centerContinuous" vertical="center"/>
    </xf>
    <xf numFmtId="176" fontId="3" fillId="0" borderId="1" xfId="0" applyNumberFormat="1" applyFont="1" applyBorder="1" applyAlignment="1">
      <alignment horizontal="center" vertical="center"/>
    </xf>
    <xf numFmtId="0" fontId="0" fillId="4" borderId="3" xfId="0" applyFill="1" applyBorder="1" applyAlignment="1">
      <alignment horizontal="left" vertical="center"/>
    </xf>
    <xf numFmtId="0" fontId="0" fillId="4" borderId="1" xfId="0" applyFill="1" applyBorder="1" applyAlignment="1">
      <alignment horizontal="left" vertical="center"/>
    </xf>
    <xf numFmtId="0" fontId="0" fillId="5" borderId="1" xfId="0" applyFill="1" applyBorder="1" applyAlignment="1">
      <alignment horizontal="left" vertical="center"/>
    </xf>
    <xf numFmtId="0" fontId="14" fillId="0" borderId="1" xfId="0" applyFont="1" applyBorder="1" applyAlignment="1">
      <alignment horizontal="center" vertical="center"/>
    </xf>
    <xf numFmtId="0" fontId="16" fillId="0" borderId="0" xfId="0" applyFont="1">
      <alignment vertical="center"/>
    </xf>
    <xf numFmtId="0" fontId="16" fillId="0" borderId="5" xfId="0" applyFont="1" applyBorder="1">
      <alignment vertical="center"/>
    </xf>
    <xf numFmtId="0" fontId="10"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wrapText="1"/>
    </xf>
    <xf numFmtId="0" fontId="10" fillId="6" borderId="1" xfId="0" applyFont="1" applyFill="1" applyBorder="1">
      <alignment vertical="center"/>
    </xf>
    <xf numFmtId="180" fontId="20" fillId="2" borderId="1" xfId="0" applyNumberFormat="1" applyFont="1" applyFill="1" applyBorder="1" applyAlignment="1">
      <alignment horizontal="center" vertical="center"/>
    </xf>
    <xf numFmtId="0" fontId="20" fillId="0" borderId="0" xfId="0" applyFont="1" applyAlignment="1">
      <alignment horizontal="center" vertical="center"/>
    </xf>
    <xf numFmtId="0" fontId="20" fillId="0" borderId="0" xfId="0" applyFont="1">
      <alignment vertical="center"/>
    </xf>
    <xf numFmtId="0" fontId="20" fillId="0" borderId="0" xfId="0" applyFont="1" applyAlignment="1">
      <alignment horizontal="left"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177" fontId="20" fillId="0" borderId="1" xfId="0" applyNumberFormat="1" applyFont="1" applyBorder="1" applyAlignment="1">
      <alignment horizontal="center" vertical="center"/>
    </xf>
    <xf numFmtId="0" fontId="19" fillId="0" borderId="0" xfId="0" applyFont="1" applyAlignment="1">
      <alignment horizontal="left"/>
    </xf>
    <xf numFmtId="0" fontId="5" fillId="0" borderId="0" xfId="0" applyFont="1" applyAlignment="1">
      <alignment horizontal="center" vertical="center"/>
    </xf>
    <xf numFmtId="14" fontId="5" fillId="0" borderId="0" xfId="0" applyNumberFormat="1" applyFont="1" applyAlignment="1">
      <alignment horizontal="center" vertical="center"/>
    </xf>
    <xf numFmtId="179" fontId="20" fillId="0" borderId="1" xfId="0" applyNumberFormat="1" applyFont="1" applyBorder="1" applyAlignment="1">
      <alignment horizontal="center" vertical="center"/>
    </xf>
    <xf numFmtId="0" fontId="20" fillId="0" borderId="1" xfId="0" applyFont="1" applyBorder="1">
      <alignment vertical="center"/>
    </xf>
    <xf numFmtId="181" fontId="20" fillId="0" borderId="1" xfId="0" applyNumberFormat="1" applyFont="1" applyBorder="1" applyAlignment="1">
      <alignment horizontal="center" vertical="center"/>
    </xf>
    <xf numFmtId="182" fontId="20" fillId="0" borderId="1" xfId="0" applyNumberFormat="1" applyFont="1" applyBorder="1" applyAlignment="1">
      <alignment horizontal="center" vertical="center"/>
    </xf>
    <xf numFmtId="182" fontId="20" fillId="0" borderId="1" xfId="0" applyNumberFormat="1" applyFont="1" applyBorder="1">
      <alignment vertical="center"/>
    </xf>
    <xf numFmtId="0" fontId="0" fillId="4" borderId="2" xfId="0" applyFill="1" applyBorder="1" applyAlignment="1">
      <alignment horizontal="left" vertical="center"/>
    </xf>
    <xf numFmtId="182" fontId="20" fillId="0" borderId="0" xfId="0" applyNumberFormat="1" applyFont="1">
      <alignment vertical="center"/>
    </xf>
    <xf numFmtId="182" fontId="10" fillId="0" borderId="0" xfId="0" applyNumberFormat="1" applyFont="1">
      <alignment vertical="center"/>
    </xf>
    <xf numFmtId="182" fontId="16" fillId="0" borderId="0" xfId="0" applyNumberFormat="1" applyFont="1">
      <alignment vertical="center"/>
    </xf>
    <xf numFmtId="0" fontId="20" fillId="3" borderId="1" xfId="0" applyFont="1" applyFill="1" applyBorder="1" applyAlignment="1">
      <alignment horizontal="center" vertical="center"/>
    </xf>
    <xf numFmtId="0" fontId="20" fillId="3" borderId="0" xfId="0" applyFont="1" applyFill="1" applyAlignment="1">
      <alignment horizontal="center" vertical="center"/>
    </xf>
    <xf numFmtId="0" fontId="2" fillId="0" borderId="9" xfId="0" applyFont="1" applyBorder="1" applyAlignment="1">
      <alignment horizontal="left" vertical="center"/>
    </xf>
    <xf numFmtId="0" fontId="23" fillId="0" borderId="1" xfId="0" applyFont="1" applyBorder="1" applyAlignment="1">
      <alignment horizontal="center" vertical="center"/>
    </xf>
    <xf numFmtId="0" fontId="20" fillId="6" borderId="1" xfId="0" applyFont="1" applyFill="1" applyBorder="1" applyAlignment="1">
      <alignment horizontal="center" vertical="center"/>
    </xf>
    <xf numFmtId="0" fontId="24" fillId="0" borderId="0" xfId="0" applyFont="1">
      <alignment vertical="center"/>
    </xf>
    <xf numFmtId="0" fontId="25" fillId="0" borderId="0" xfId="0" applyFont="1">
      <alignment vertical="center"/>
    </xf>
    <xf numFmtId="0" fontId="28" fillId="0" borderId="0" xfId="0" applyFont="1">
      <alignment vertical="center"/>
    </xf>
    <xf numFmtId="0" fontId="24" fillId="0" borderId="0" xfId="0" applyFont="1" applyAlignment="1">
      <alignment vertical="center" wrapText="1"/>
    </xf>
    <xf numFmtId="0" fontId="29" fillId="0" borderId="0" xfId="0" applyFont="1">
      <alignment vertical="center"/>
    </xf>
    <xf numFmtId="0" fontId="0" fillId="0" borderId="4" xfId="0" applyBorder="1" applyAlignment="1">
      <alignment horizontal="left" vertical="center"/>
    </xf>
    <xf numFmtId="57" fontId="3" fillId="0" borderId="4" xfId="0" applyNumberFormat="1" applyFont="1" applyBorder="1" applyAlignment="1">
      <alignment horizontal="center" vertical="center"/>
    </xf>
    <xf numFmtId="0" fontId="2" fillId="0" borderId="4" xfId="0" applyFont="1" applyBorder="1" applyAlignment="1">
      <alignment horizontal="center" vertical="center"/>
    </xf>
    <xf numFmtId="176" fontId="6" fillId="0" borderId="4" xfId="0" applyNumberFormat="1" applyFont="1" applyBorder="1" applyAlignment="1">
      <alignment horizontal="center" vertical="center"/>
    </xf>
    <xf numFmtId="0" fontId="0" fillId="0" borderId="4" xfId="0" applyBorder="1">
      <alignment vertical="center"/>
    </xf>
    <xf numFmtId="177" fontId="0" fillId="0" borderId="4" xfId="0" applyNumberFormat="1" applyBorder="1" applyAlignment="1">
      <alignment horizontal="center" vertical="center"/>
    </xf>
    <xf numFmtId="176" fontId="20" fillId="0" borderId="1" xfId="0" applyNumberFormat="1" applyFont="1" applyBorder="1" applyAlignment="1">
      <alignment horizontal="center" vertical="center"/>
    </xf>
    <xf numFmtId="0" fontId="0" fillId="5" borderId="2" xfId="0" applyFill="1" applyBorder="1" applyAlignment="1">
      <alignment horizontal="left" vertical="center"/>
    </xf>
    <xf numFmtId="0" fontId="4" fillId="0" borderId="0" xfId="0" applyFont="1">
      <alignment vertical="center"/>
    </xf>
    <xf numFmtId="0" fontId="4" fillId="0" borderId="0" xfId="0" applyFont="1" applyAlignment="1">
      <alignment vertical="center" wrapText="1"/>
    </xf>
    <xf numFmtId="0" fontId="0" fillId="5" borderId="3" xfId="0" applyFill="1" applyBorder="1" applyAlignment="1">
      <alignment horizontal="left" vertical="center"/>
    </xf>
    <xf numFmtId="0" fontId="18" fillId="0" borderId="0" xfId="0" applyFont="1" applyAlignment="1">
      <alignment horizontal="right"/>
    </xf>
    <xf numFmtId="0" fontId="0" fillId="3" borderId="1" xfId="0" applyFill="1" applyBorder="1" applyAlignment="1">
      <alignment horizontal="left" vertical="center"/>
    </xf>
    <xf numFmtId="57" fontId="3" fillId="0" borderId="12" xfId="0" applyNumberFormat="1" applyFont="1" applyBorder="1" applyAlignment="1">
      <alignment horizontal="center" vertical="center"/>
    </xf>
    <xf numFmtId="0" fontId="2" fillId="0" borderId="12" xfId="0" applyFont="1" applyBorder="1" applyAlignment="1">
      <alignment horizontal="center" vertical="center"/>
    </xf>
    <xf numFmtId="176" fontId="6" fillId="0" borderId="12" xfId="0" applyNumberFormat="1" applyFont="1" applyBorder="1" applyAlignment="1">
      <alignment horizontal="center" vertical="center"/>
    </xf>
    <xf numFmtId="0" fontId="0" fillId="0" borderId="12" xfId="0" applyBorder="1">
      <alignment vertical="center"/>
    </xf>
    <xf numFmtId="177" fontId="0" fillId="0" borderId="12" xfId="0" applyNumberFormat="1" applyBorder="1" applyAlignment="1">
      <alignment horizontal="center" vertical="center"/>
    </xf>
    <xf numFmtId="0" fontId="0" fillId="0" borderId="13" xfId="0" applyBorder="1" applyAlignment="1">
      <alignment horizontal="center" vertical="center"/>
    </xf>
    <xf numFmtId="57" fontId="3"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176" fontId="6" fillId="3" borderId="2" xfId="0" applyNumberFormat="1" applyFont="1" applyFill="1" applyBorder="1" applyAlignment="1">
      <alignment horizontal="center" vertical="center"/>
    </xf>
    <xf numFmtId="0" fontId="0" fillId="3" borderId="2" xfId="0" applyFill="1" applyBorder="1">
      <alignment vertical="center"/>
    </xf>
    <xf numFmtId="177" fontId="0" fillId="3" borderId="2" xfId="0" applyNumberFormat="1" applyFill="1" applyBorder="1" applyAlignment="1">
      <alignment horizontal="center" vertical="center"/>
    </xf>
    <xf numFmtId="0" fontId="22" fillId="6" borderId="1" xfId="0" applyFont="1" applyFill="1" applyBorder="1" applyAlignment="1">
      <alignment horizontal="center" vertic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0" borderId="12" xfId="0" applyBorder="1" applyAlignment="1">
      <alignment horizontal="left" vertical="center"/>
    </xf>
    <xf numFmtId="0" fontId="2" fillId="0" borderId="10" xfId="0" applyFont="1" applyBorder="1" applyAlignment="1">
      <alignment horizontal="center" vertical="center"/>
    </xf>
    <xf numFmtId="0" fontId="4" fillId="2" borderId="1" xfId="0" applyFont="1" applyFill="1" applyBorder="1" applyAlignment="1">
      <alignment horizontal="center" vertical="center"/>
    </xf>
    <xf numFmtId="176" fontId="8" fillId="0" borderId="0" xfId="0" applyNumberFormat="1" applyFont="1">
      <alignment vertical="center"/>
    </xf>
    <xf numFmtId="0" fontId="21" fillId="3" borderId="1" xfId="0" applyFont="1" applyFill="1" applyBorder="1" applyAlignment="1">
      <alignment horizontal="center" vertical="center"/>
    </xf>
    <xf numFmtId="0" fontId="20" fillId="7" borderId="1" xfId="0" applyFont="1" applyFill="1" applyBorder="1" applyAlignment="1">
      <alignment horizontal="center" vertical="center"/>
    </xf>
    <xf numFmtId="182" fontId="20" fillId="0" borderId="0" xfId="0" applyNumberFormat="1" applyFont="1" applyAlignment="1">
      <alignment horizontal="center" vertical="center"/>
    </xf>
    <xf numFmtId="182" fontId="10" fillId="0" borderId="0" xfId="0" applyNumberFormat="1" applyFont="1" applyAlignment="1">
      <alignment horizontal="center" vertical="center"/>
    </xf>
    <xf numFmtId="182" fontId="16" fillId="0" borderId="0" xfId="0" applyNumberFormat="1" applyFont="1" applyAlignment="1">
      <alignment horizontal="center" vertical="center"/>
    </xf>
    <xf numFmtId="0" fontId="10" fillId="0" borderId="1" xfId="0" applyFont="1" applyBorder="1" applyAlignment="1">
      <alignment horizontal="center" vertical="center"/>
    </xf>
    <xf numFmtId="176" fontId="3" fillId="0" borderId="3" xfId="0" applyNumberFormat="1" applyFont="1" applyBorder="1" applyAlignment="1">
      <alignment horizontal="center" vertical="center"/>
    </xf>
    <xf numFmtId="0" fontId="2" fillId="0" borderId="13" xfId="0" applyFont="1" applyBorder="1" applyAlignment="1">
      <alignment horizontal="center" vertical="center"/>
    </xf>
    <xf numFmtId="0" fontId="32" fillId="0" borderId="1" xfId="0" applyFont="1" applyBorder="1" applyAlignment="1">
      <alignment horizontal="center" vertical="center" wrapText="1"/>
    </xf>
    <xf numFmtId="0" fontId="5" fillId="0" borderId="1" xfId="0" applyFont="1" applyBorder="1" applyAlignment="1">
      <alignment horizontal="center" vertical="center"/>
    </xf>
    <xf numFmtId="0" fontId="0" fillId="4" borderId="12" xfId="0" applyFill="1" applyBorder="1" applyAlignment="1">
      <alignment horizontal="left" vertical="center"/>
    </xf>
    <xf numFmtId="0" fontId="15" fillId="0" borderId="1" xfId="0" applyFont="1" applyBorder="1" applyAlignment="1">
      <alignment horizontal="center" vertical="center"/>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33" fillId="0" borderId="1" xfId="0" applyFont="1" applyBorder="1" applyAlignment="1">
      <alignment horizontal="center" vertical="center"/>
    </xf>
    <xf numFmtId="0" fontId="34" fillId="0" borderId="1" xfId="0" applyFont="1" applyBorder="1" applyAlignment="1">
      <alignment horizontal="center" vertical="center"/>
    </xf>
    <xf numFmtId="0" fontId="35" fillId="0" borderId="1" xfId="0" applyFont="1" applyBorder="1" applyAlignment="1">
      <alignment horizontal="center" vertical="center"/>
    </xf>
    <xf numFmtId="0" fontId="30" fillId="0" borderId="0" xfId="0" applyFont="1">
      <alignment vertical="center"/>
    </xf>
    <xf numFmtId="0" fontId="30" fillId="2" borderId="0" xfId="0" applyFont="1" applyFill="1">
      <alignment vertical="center"/>
    </xf>
    <xf numFmtId="0" fontId="30" fillId="0" borderId="0" xfId="0" applyFont="1" applyAlignment="1">
      <alignment horizontal="left" vertical="center"/>
    </xf>
    <xf numFmtId="0" fontId="30" fillId="2" borderId="0" xfId="0" applyFont="1" applyFill="1" applyAlignment="1">
      <alignment horizontal="left" vertical="center"/>
    </xf>
    <xf numFmtId="0" fontId="4" fillId="2" borderId="1" xfId="0" applyFont="1" applyFill="1" applyBorder="1">
      <alignment vertical="center"/>
    </xf>
    <xf numFmtId="0" fontId="30" fillId="2" borderId="1" xfId="0" applyFont="1" applyFill="1" applyBorder="1">
      <alignment vertical="center"/>
    </xf>
    <xf numFmtId="0" fontId="4" fillId="0" borderId="1" xfId="0" applyFont="1" applyBorder="1" applyAlignment="1">
      <alignment horizontal="left" vertical="top" wrapText="1"/>
    </xf>
    <xf numFmtId="0" fontId="30" fillId="0" borderId="1" xfId="0" applyFont="1" applyBorder="1" applyAlignment="1">
      <alignment horizontal="left" vertical="top" wrapText="1"/>
    </xf>
    <xf numFmtId="0" fontId="30" fillId="2" borderId="1" xfId="0" applyFont="1" applyFill="1" applyBorder="1" applyAlignment="1">
      <alignment horizontal="left" vertical="center" wrapText="1"/>
    </xf>
    <xf numFmtId="0" fontId="0" fillId="5" borderId="4" xfId="0" applyFill="1" applyBorder="1" applyAlignment="1">
      <alignment horizontal="left" vertical="center"/>
    </xf>
    <xf numFmtId="0" fontId="30" fillId="2" borderId="1" xfId="0" applyFont="1" applyFill="1" applyBorder="1" applyAlignment="1">
      <alignment horizontal="left" vertical="center"/>
    </xf>
    <xf numFmtId="0" fontId="13" fillId="0" borderId="1" xfId="0" applyFont="1" applyBorder="1" applyAlignment="1">
      <alignment horizontal="center" vertical="center"/>
    </xf>
    <xf numFmtId="0" fontId="38" fillId="3" borderId="1" xfId="0" applyFont="1" applyFill="1" applyBorder="1" applyAlignment="1">
      <alignment horizontal="center" vertical="center"/>
    </xf>
    <xf numFmtId="0" fontId="0" fillId="3" borderId="4" xfId="0" applyFill="1" applyBorder="1" applyAlignment="1">
      <alignment horizontal="left" vertical="center"/>
    </xf>
    <xf numFmtId="0" fontId="22" fillId="3" borderId="1" xfId="0" applyFont="1" applyFill="1" applyBorder="1" applyAlignment="1">
      <alignment horizontal="center" vertical="center"/>
    </xf>
    <xf numFmtId="0" fontId="39" fillId="0" borderId="1" xfId="0" applyFont="1" applyBorder="1" applyAlignment="1">
      <alignment horizontal="center" vertical="center"/>
    </xf>
    <xf numFmtId="0" fontId="40" fillId="0" borderId="1" xfId="0" applyFont="1" applyBorder="1" applyAlignment="1">
      <alignment horizontal="center" vertical="center"/>
    </xf>
    <xf numFmtId="180" fontId="20" fillId="2" borderId="3" xfId="0" applyNumberFormat="1" applyFont="1" applyFill="1" applyBorder="1" applyAlignment="1">
      <alignment horizontal="center" vertical="center"/>
    </xf>
    <xf numFmtId="0" fontId="10" fillId="6" borderId="0" xfId="0" applyFont="1" applyFill="1">
      <alignment vertical="center"/>
    </xf>
    <xf numFmtId="0" fontId="19" fillId="0" borderId="5" xfId="0" applyFont="1" applyBorder="1" applyAlignment="1">
      <alignment horizontal="left"/>
    </xf>
    <xf numFmtId="0" fontId="17" fillId="0" borderId="5" xfId="0" applyFont="1" applyBorder="1" applyAlignment="1">
      <alignment horizontal="center" vertical="center" wrapText="1"/>
    </xf>
    <xf numFmtId="182" fontId="16" fillId="0" borderId="5" xfId="0" applyNumberFormat="1" applyFont="1" applyBorder="1">
      <alignment vertical="center"/>
    </xf>
    <xf numFmtId="182" fontId="16" fillId="0" borderId="5" xfId="0" applyNumberFormat="1" applyFont="1" applyBorder="1" applyAlignment="1">
      <alignment horizontal="center" vertical="center"/>
    </xf>
    <xf numFmtId="0" fontId="20" fillId="2" borderId="1" xfId="0" applyFont="1" applyFill="1" applyBorder="1" applyAlignment="1">
      <alignment horizontal="center" vertical="center"/>
    </xf>
    <xf numFmtId="0" fontId="16" fillId="0" borderId="0" xfId="0" applyFont="1" applyAlignment="1">
      <alignment horizontal="center" vertical="center"/>
    </xf>
    <xf numFmtId="0" fontId="16" fillId="0" borderId="5" xfId="0" applyFont="1" applyBorder="1" applyAlignment="1">
      <alignment horizontal="center" vertical="center"/>
    </xf>
    <xf numFmtId="0" fontId="18" fillId="0" borderId="0" xfId="0" applyFont="1" applyAlignment="1">
      <alignment horizontal="center" vertical="center"/>
    </xf>
    <xf numFmtId="57"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182" fontId="20" fillId="2"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182" fontId="10" fillId="2" borderId="10" xfId="0" applyNumberFormat="1" applyFont="1" applyFill="1" applyBorder="1" applyAlignment="1">
      <alignment horizontal="center" vertical="center" textRotation="255"/>
    </xf>
    <xf numFmtId="182" fontId="10" fillId="2" borderId="3" xfId="0" applyNumberFormat="1" applyFont="1" applyFill="1" applyBorder="1" applyAlignment="1">
      <alignment horizontal="center" vertical="center" textRotation="255"/>
    </xf>
    <xf numFmtId="0" fontId="15" fillId="2" borderId="10" xfId="0" applyFont="1" applyFill="1" applyBorder="1" applyAlignment="1">
      <alignment horizontal="center" vertical="center" textRotation="255"/>
    </xf>
    <xf numFmtId="0" fontId="15" fillId="2" borderId="3" xfId="0" applyFont="1" applyFill="1" applyBorder="1" applyAlignment="1">
      <alignment horizontal="center" vertical="center" textRotation="255"/>
    </xf>
    <xf numFmtId="0" fontId="20" fillId="2" borderId="10" xfId="0" applyFont="1" applyFill="1" applyBorder="1" applyAlignment="1">
      <alignment horizontal="center" vertical="center"/>
    </xf>
    <xf numFmtId="0" fontId="20" fillId="2" borderId="3" xfId="0" applyFont="1" applyFill="1" applyBorder="1" applyAlignment="1">
      <alignment horizontal="center" vertical="center"/>
    </xf>
    <xf numFmtId="0" fontId="16" fillId="0" borderId="0" xfId="0" applyFont="1" applyAlignment="1">
      <alignment horizontal="center" vertical="center"/>
    </xf>
    <xf numFmtId="0" fontId="16" fillId="0" borderId="5" xfId="0" applyFont="1" applyBorder="1" applyAlignment="1">
      <alignment horizontal="center" vertical="center"/>
    </xf>
    <xf numFmtId="0" fontId="18" fillId="0" borderId="11" xfId="0" applyFont="1" applyBorder="1" applyAlignment="1">
      <alignment horizontal="center" vertical="center"/>
    </xf>
    <xf numFmtId="0" fontId="18" fillId="0" borderId="0" xfId="0" applyFont="1" applyAlignment="1">
      <alignment horizontal="center" vertical="center"/>
    </xf>
    <xf numFmtId="0" fontId="18" fillId="0" borderId="5" xfId="0" applyFont="1" applyBorder="1" applyAlignment="1">
      <alignment horizontal="right" wrapText="1"/>
    </xf>
    <xf numFmtId="0" fontId="18" fillId="0" borderId="5" xfId="0" applyFont="1" applyBorder="1" applyAlignment="1">
      <alignment horizontal="right"/>
    </xf>
    <xf numFmtId="57"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57" fontId="0" fillId="0" borderId="3" xfId="0" applyNumberFormat="1" applyBorder="1" applyAlignment="1">
      <alignment horizontal="center" vertical="center"/>
    </xf>
    <xf numFmtId="0" fontId="0" fillId="0" borderId="3" xfId="0" applyBorder="1" applyAlignment="1">
      <alignment horizontal="center" vertical="center"/>
    </xf>
    <xf numFmtId="57" fontId="0" fillId="0" borderId="6" xfId="0" applyNumberFormat="1" applyBorder="1" applyAlignment="1">
      <alignment horizontal="center" vertical="center"/>
    </xf>
    <xf numFmtId="0" fontId="0" fillId="0" borderId="7" xfId="0" applyBorder="1" applyAlignment="1">
      <alignment horizontal="center" vertical="center"/>
    </xf>
    <xf numFmtId="0" fontId="24" fillId="0" borderId="1" xfId="0" applyFont="1" applyBorder="1" applyAlignment="1">
      <alignment horizontal="left" vertical="center" wrapText="1"/>
    </xf>
    <xf numFmtId="0" fontId="24" fillId="0" borderId="0" xfId="0" applyFont="1" applyAlignment="1">
      <alignment horizontal="left" vertical="center"/>
    </xf>
    <xf numFmtId="0" fontId="25" fillId="0" borderId="1" xfId="0" applyFont="1" applyBorder="1" applyAlignment="1">
      <alignment horizontal="left" vertical="center" wrapText="1"/>
    </xf>
    <xf numFmtId="0" fontId="26" fillId="0" borderId="1" xfId="0" applyFont="1" applyBorder="1" applyAlignment="1">
      <alignment horizontal="left" vertical="center" wrapText="1"/>
    </xf>
    <xf numFmtId="0" fontId="27" fillId="0" borderId="5" xfId="0" applyFont="1" applyBorder="1" applyAlignment="1">
      <alignment horizontal="left" vertical="center"/>
    </xf>
    <xf numFmtId="0" fontId="24" fillId="0" borderId="6" xfId="0" applyFont="1" applyBorder="1" applyAlignment="1">
      <alignment horizontal="left" vertical="center" wrapText="1"/>
    </xf>
    <xf numFmtId="0" fontId="24" fillId="0" borderId="8" xfId="0" applyFont="1" applyBorder="1" applyAlignment="1">
      <alignment horizontal="left" vertical="center" wrapText="1"/>
    </xf>
    <xf numFmtId="0" fontId="24" fillId="0" borderId="7" xfId="0" applyFont="1" applyBorder="1" applyAlignment="1">
      <alignment horizontal="left" vertical="center" wrapText="1"/>
    </xf>
    <xf numFmtId="0" fontId="25" fillId="0" borderId="6" xfId="0" applyFont="1" applyBorder="1" applyAlignment="1">
      <alignment horizontal="left" vertical="center" wrapText="1"/>
    </xf>
    <xf numFmtId="0" fontId="25" fillId="0" borderId="8" xfId="0" applyFont="1" applyBorder="1" applyAlignment="1">
      <alignment horizontal="left" vertical="center" wrapText="1"/>
    </xf>
    <xf numFmtId="0" fontId="25" fillId="0" borderId="7" xfId="0" applyFont="1" applyBorder="1" applyAlignment="1">
      <alignment horizontal="left" vertical="center" wrapText="1"/>
    </xf>
    <xf numFmtId="0" fontId="25" fillId="4" borderId="6" xfId="0" applyFont="1" applyFill="1" applyBorder="1" applyAlignment="1">
      <alignment horizontal="left" vertical="center" wrapText="1"/>
    </xf>
    <xf numFmtId="0" fontId="25" fillId="4" borderId="8" xfId="0" applyFont="1" applyFill="1" applyBorder="1" applyAlignment="1">
      <alignment horizontal="left" vertical="center" wrapText="1"/>
    </xf>
    <xf numFmtId="0" fontId="25" fillId="4" borderId="7" xfId="0" applyFont="1" applyFill="1" applyBorder="1" applyAlignment="1">
      <alignment horizontal="left" vertical="center" wrapText="1"/>
    </xf>
    <xf numFmtId="0" fontId="24" fillId="0" borderId="0" xfId="0" applyFont="1">
      <alignment vertical="center"/>
    </xf>
    <xf numFmtId="0" fontId="15" fillId="2" borderId="1" xfId="0" applyFont="1" applyFill="1" applyBorder="1" applyAlignment="1">
      <alignment horizontal="center" vertical="center" textRotation="255"/>
    </xf>
    <xf numFmtId="182" fontId="20" fillId="2" borderId="3" xfId="0" applyNumberFormat="1" applyFont="1" applyFill="1" applyBorder="1" applyAlignment="1">
      <alignment horizontal="center" vertical="center"/>
    </xf>
    <xf numFmtId="182" fontId="10" fillId="2" borderId="1" xfId="0" applyNumberFormat="1" applyFont="1" applyFill="1" applyBorder="1" applyAlignment="1">
      <alignment horizontal="center" vertical="center" textRotation="255"/>
    </xf>
  </cellXfs>
  <cellStyles count="1">
    <cellStyle name="標準" xfId="0" builtinId="0"/>
  </cellStyles>
  <dxfs count="244">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D3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CCFF"/>
        </patternFill>
      </fill>
    </dxf>
    <dxf>
      <fill>
        <patternFill>
          <bgColor theme="0"/>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theme="0"/>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rgb="FFFFCCFF"/>
        </patternFill>
      </fill>
    </dxf>
    <dxf>
      <fill>
        <patternFill>
          <bgColor rgb="FFFFD3FF"/>
        </patternFill>
      </fill>
    </dxf>
    <dxf>
      <fill>
        <patternFill>
          <bgColor theme="7" tint="0.79998168889431442"/>
        </patternFill>
      </fill>
    </dxf>
    <dxf>
      <font>
        <color rgb="FF9C0006"/>
      </font>
      <fill>
        <patternFill>
          <bgColor rgb="FFFFC7CE"/>
        </patternFill>
      </fill>
    </dxf>
    <dxf>
      <font>
        <color rgb="FFFF0000"/>
      </font>
    </dxf>
    <dxf>
      <font>
        <color theme="4"/>
      </font>
    </dxf>
    <dxf>
      <fill>
        <patternFill>
          <bgColor rgb="FFFFCCFF"/>
        </patternFill>
      </fill>
    </dxf>
    <dxf>
      <fill>
        <patternFill>
          <bgColor rgb="FFFFD3FF"/>
        </patternFill>
      </fill>
    </dxf>
    <dxf>
      <fill>
        <patternFill>
          <bgColor rgb="FFFFCCFF"/>
        </patternFill>
      </fill>
    </dxf>
    <dxf>
      <font>
        <color theme="1"/>
      </font>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9"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s>
  <tableStyles count="0" defaultTableStyle="TableStyleMedium2" defaultPivotStyle="PivotStyleLight16"/>
  <colors>
    <mruColors>
      <color rgb="FFFFCCFF"/>
      <color rgb="FFFFCCCC"/>
      <color rgb="FFFFD3FF"/>
      <color rgb="FFFF9B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EC1A3-F950-4ADD-9E44-F47DA4DCA9E6}">
  <sheetPr codeName="Sheet2"/>
  <dimension ref="A1:AH291"/>
  <sheetViews>
    <sheetView zoomScale="70" zoomScaleNormal="70" workbookViewId="0">
      <pane ySplit="1" topLeftCell="A48" activePane="bottomLeft" state="frozen"/>
      <selection activeCell="O16" sqref="O16"/>
      <selection pane="bottomLeft" activeCell="AC62" sqref="AC62"/>
    </sheetView>
  </sheetViews>
  <sheetFormatPr defaultRowHeight="15.75" customHeight="1" x14ac:dyDescent="0.45"/>
  <cols>
    <col min="1" max="1" width="7.59765625" style="1" customWidth="1"/>
    <col min="2" max="2" width="16.19921875" style="5" customWidth="1"/>
    <col min="3" max="3" width="11" style="5" customWidth="1"/>
    <col min="4" max="4" width="6" style="1" customWidth="1"/>
    <col min="5" max="5" width="4.8984375" style="1" customWidth="1"/>
    <col min="6" max="6" width="5.09765625" style="1" customWidth="1"/>
    <col min="7" max="7" width="10" style="1" customWidth="1"/>
    <col min="8" max="8" width="9.59765625" style="38" customWidth="1"/>
    <col min="9" max="9" width="8.19921875" style="38" customWidth="1"/>
    <col min="10" max="10" width="20.69921875" customWidth="1"/>
    <col min="11" max="11" width="17.19921875" style="1" customWidth="1"/>
    <col min="12" max="23" width="5.3984375" customWidth="1"/>
    <col min="24" max="24" width="7.19921875" style="35" customWidth="1"/>
    <col min="25" max="25" width="5.8984375" hidden="1" customWidth="1"/>
    <col min="26" max="26" width="8.69921875" hidden="1" customWidth="1"/>
    <col min="27" max="27" width="9.69921875" customWidth="1"/>
    <col min="28" max="28" width="10.5" customWidth="1"/>
  </cols>
  <sheetData>
    <row r="1" spans="1:27" s="2" customFormat="1" ht="28.95" customHeight="1" x14ac:dyDescent="0.45">
      <c r="A1" s="3"/>
      <c r="B1" s="3" t="s">
        <v>0</v>
      </c>
      <c r="C1" s="3" t="s">
        <v>1</v>
      </c>
      <c r="D1" s="3" t="s">
        <v>2</v>
      </c>
      <c r="E1" s="3" t="s">
        <v>3</v>
      </c>
      <c r="F1" s="111" t="s">
        <v>4</v>
      </c>
      <c r="G1" s="3" t="s">
        <v>5</v>
      </c>
      <c r="H1" s="36" t="s">
        <v>6</v>
      </c>
      <c r="I1" s="36" t="s">
        <v>7</v>
      </c>
      <c r="J1" s="3" t="s">
        <v>8</v>
      </c>
      <c r="K1" s="3" t="s">
        <v>9</v>
      </c>
      <c r="L1" s="23">
        <v>45017</v>
      </c>
      <c r="M1" s="23">
        <v>45047</v>
      </c>
      <c r="N1" s="23">
        <v>45078</v>
      </c>
      <c r="O1" s="23">
        <v>45108</v>
      </c>
      <c r="P1" s="23">
        <v>45139</v>
      </c>
      <c r="Q1" s="23">
        <v>45170</v>
      </c>
      <c r="R1" s="23">
        <v>45200</v>
      </c>
      <c r="S1" s="23">
        <v>45231</v>
      </c>
      <c r="T1" s="23">
        <v>45261</v>
      </c>
      <c r="U1" s="23">
        <v>45292</v>
      </c>
      <c r="V1" s="23">
        <v>45323</v>
      </c>
      <c r="W1" s="23">
        <v>45352</v>
      </c>
      <c r="X1" s="33"/>
    </row>
    <row r="2" spans="1:27" ht="18.600000000000001" customHeight="1" x14ac:dyDescent="0.45">
      <c r="A2" s="158">
        <v>101</v>
      </c>
      <c r="B2" s="44" t="s">
        <v>10</v>
      </c>
      <c r="C2" s="9">
        <v>13829</v>
      </c>
      <c r="D2" s="12" t="str">
        <f t="shared" ref="D2" ca="1" si="0">IF(C2="","",DATEDIF(C2,TODAY(),"y")&amp;"歳")</f>
        <v>88歳</v>
      </c>
      <c r="E2" s="12" t="s">
        <v>11</v>
      </c>
      <c r="F2" s="12"/>
      <c r="G2" s="15">
        <v>46081</v>
      </c>
      <c r="H2" s="17">
        <v>45397</v>
      </c>
      <c r="I2" s="17"/>
      <c r="J2" s="18" t="s">
        <v>12</v>
      </c>
      <c r="K2" s="22">
        <v>9050816826</v>
      </c>
      <c r="L2" s="12" t="str">
        <f>IF(MONTH(G2)=4,"更新",IF(MONTH(G2)=10,"ﾓﾆﾀ",""))</f>
        <v/>
      </c>
      <c r="M2" s="12" t="str">
        <f t="shared" ref="M2" si="1">IF(MONTH(G2)=5,"更新",IF(MONTH(G2)=11,"ﾓﾆﾀ",""))</f>
        <v/>
      </c>
      <c r="N2" s="12" t="str">
        <f t="shared" ref="N2" si="2">IF(MONTH(G2)=6,"更新",IF(MONTH(G2)=12,"ﾓﾆﾀ",""))</f>
        <v/>
      </c>
      <c r="O2" s="12" t="str">
        <f t="shared" ref="O2" si="3">IF(MONTH(G2)=7,"更新",IF(MONTH(G2)=1,"ﾓﾆﾀ",""))</f>
        <v/>
      </c>
      <c r="P2" s="12" t="str">
        <f t="shared" ref="P2" si="4">IF(MONTH(G2)=8,"更新",IF(MONTH(G2)=2,"ﾓﾆﾀ",""))</f>
        <v>ﾓﾆﾀ</v>
      </c>
      <c r="Q2" s="12" t="str">
        <f t="shared" ref="Q2" si="5">IF(MONTH(G2)=9,"更新",IF(MONTH(G2)=3,"ﾓﾆﾀ",""))</f>
        <v/>
      </c>
      <c r="R2" s="12" t="str">
        <f t="shared" ref="R2" si="6">IF(MONTH(G2)=10,"更新",IF(MONTH(G2)=4,"ﾓﾆﾀ",""))</f>
        <v/>
      </c>
      <c r="S2" s="12" t="str">
        <f t="shared" ref="S2" si="7">IF(MONTH(G2)=11,"更新",IF(MONTH(G2)=5,"ﾓﾆﾀ",""))</f>
        <v/>
      </c>
      <c r="T2" s="12" t="str">
        <f t="shared" ref="T2" si="8">IF(MONTH(G2)=12,"更新",IF(MONTH(G2)=6,"ﾓﾆﾀ",""))</f>
        <v/>
      </c>
      <c r="U2" s="12" t="str">
        <f t="shared" ref="U2" si="9">IF(MONTH(G2)=1,"更新",IF(MONTH(G2)=7,"ﾓﾆﾀ",""))</f>
        <v/>
      </c>
      <c r="V2" s="12" t="str">
        <f t="shared" ref="V2" si="10">IF(MONTH(G2)=2,"更新",IF(MONTH(G2)=8,"ﾓﾆﾀ",""))</f>
        <v>更新</v>
      </c>
      <c r="W2" s="12" t="str">
        <f t="shared" ref="W2" si="11">IF(MONTH(G2)=3,"更新",IF(MONTH(G2)=9,"ﾓﾆﾀ",""))</f>
        <v/>
      </c>
      <c r="X2" s="34"/>
      <c r="Y2">
        <f ca="1">IF(C2="","",DATEDIF(C2,TODAY(),"Y"))</f>
        <v>88</v>
      </c>
      <c r="Z2" s="12" t="str">
        <f>E2</f>
        <v>男</v>
      </c>
    </row>
    <row r="3" spans="1:27" ht="18.600000000000001" customHeight="1" x14ac:dyDescent="0.45">
      <c r="B3" s="7" t="s">
        <v>13</v>
      </c>
      <c r="C3" s="10">
        <v>17690</v>
      </c>
      <c r="D3" s="13" t="str">
        <f t="shared" ref="D3:D4" ca="1" si="12">IF(C3="","",DATEDIF(C3,TODAY(),"y")&amp;"歳")</f>
        <v>78歳</v>
      </c>
      <c r="E3" s="13" t="s">
        <v>11</v>
      </c>
      <c r="F3" s="13">
        <v>3</v>
      </c>
      <c r="G3" s="17">
        <v>46691</v>
      </c>
      <c r="H3" s="15">
        <v>44720</v>
      </c>
      <c r="I3" s="15" t="s">
        <v>14</v>
      </c>
      <c r="J3" s="6" t="s">
        <v>15</v>
      </c>
      <c r="K3" s="20">
        <v>9082906013</v>
      </c>
      <c r="L3" s="12" t="str">
        <f>IF(MONTH(G3)=4,"更新",IF(MONTH(G3)=10,"ﾓﾆﾀ",""))</f>
        <v>ﾓﾆﾀ</v>
      </c>
      <c r="M3" s="12" t="str">
        <f t="shared" ref="M3" si="13">IF(MONTH(G3)=5,"更新",IF(MONTH(G3)=11,"ﾓﾆﾀ",""))</f>
        <v/>
      </c>
      <c r="N3" s="12" t="str">
        <f t="shared" ref="N3" si="14">IF(MONTH(G3)=6,"更新",IF(MONTH(G3)=12,"ﾓﾆﾀ",""))</f>
        <v/>
      </c>
      <c r="O3" s="12" t="str">
        <f t="shared" ref="O3" si="15">IF(MONTH(G3)=7,"更新",IF(MONTH(G3)=1,"ﾓﾆﾀ",""))</f>
        <v/>
      </c>
      <c r="P3" s="12" t="str">
        <f t="shared" ref="P3" si="16">IF(MONTH(G3)=8,"更新",IF(MONTH(G3)=2,"ﾓﾆﾀ",""))</f>
        <v/>
      </c>
      <c r="Q3" s="12" t="str">
        <f t="shared" ref="Q3" si="17">IF(MONTH(G3)=9,"更新",IF(MONTH(G3)=3,"ﾓﾆﾀ",""))</f>
        <v/>
      </c>
      <c r="R3" s="12" t="str">
        <f t="shared" ref="R3" si="18">IF(MONTH(G3)=10,"更新",IF(MONTH(G3)=4,"ﾓﾆﾀ",""))</f>
        <v>更新</v>
      </c>
      <c r="S3" s="12" t="str">
        <f t="shared" ref="S3" si="19">IF(MONTH(G3)=11,"更新",IF(MONTH(G3)=5,"ﾓﾆﾀ",""))</f>
        <v/>
      </c>
      <c r="T3" s="12" t="str">
        <f t="shared" ref="T3" si="20">IF(MONTH(G3)=12,"更新",IF(MONTH(G3)=6,"ﾓﾆﾀ",""))</f>
        <v/>
      </c>
      <c r="U3" s="12" t="str">
        <f t="shared" ref="U3" si="21">IF(MONTH(G3)=1,"更新",IF(MONTH(G3)=7,"ﾓﾆﾀ",""))</f>
        <v/>
      </c>
      <c r="V3" s="12" t="str">
        <f t="shared" ref="V3" si="22">IF(MONTH(G3)=2,"更新",IF(MONTH(G3)=8,"ﾓﾆﾀ",""))</f>
        <v/>
      </c>
      <c r="W3" s="12" t="str">
        <f t="shared" ref="W3" si="23">IF(MONTH(G3)=3,"更新",IF(MONTH(G3)=9,"ﾓﾆﾀ",""))</f>
        <v/>
      </c>
      <c r="X3" s="34"/>
      <c r="Y3">
        <f ca="1">IF(C8="","",DATEDIF(C8,TODAY(),"Y"))</f>
        <v>81</v>
      </c>
      <c r="Z3" s="12" t="str">
        <f t="shared" ref="Z3:Z66" si="24">E3</f>
        <v>男</v>
      </c>
    </row>
    <row r="4" spans="1:27" ht="18.600000000000001" customHeight="1" thickBot="1" x14ac:dyDescent="0.5">
      <c r="A4" s="158"/>
      <c r="B4" s="8" t="s">
        <v>16</v>
      </c>
      <c r="C4" s="11">
        <v>18920</v>
      </c>
      <c r="D4" s="14" t="str">
        <f t="shared" ca="1" si="12"/>
        <v>74歳</v>
      </c>
      <c r="E4" s="14" t="s">
        <v>11</v>
      </c>
      <c r="F4" s="14">
        <v>4</v>
      </c>
      <c r="G4" s="16">
        <v>46752</v>
      </c>
      <c r="H4" s="16">
        <v>43942</v>
      </c>
      <c r="I4" s="16" t="s">
        <v>17</v>
      </c>
      <c r="J4" s="19" t="s">
        <v>18</v>
      </c>
      <c r="K4" s="21" t="s">
        <v>19</v>
      </c>
      <c r="L4" s="12" t="str">
        <f t="shared" ref="L4:L33" si="25">IF(MONTH(G4)=4,"更新",IF(MONTH(G4)=10,"ﾓﾆﾀ",""))</f>
        <v/>
      </c>
      <c r="M4" s="12" t="str">
        <f t="shared" ref="M4:M33" si="26">IF(MONTH(G4)=5,"更新",IF(MONTH(G4)=11,"ﾓﾆﾀ",""))</f>
        <v/>
      </c>
      <c r="N4" s="12" t="str">
        <f t="shared" ref="N4:N33" si="27">IF(MONTH(G4)=6,"更新",IF(MONTH(G4)=12,"ﾓﾆﾀ",""))</f>
        <v>ﾓﾆﾀ</v>
      </c>
      <c r="O4" s="12" t="str">
        <f t="shared" ref="O4:O33" si="28">IF(MONTH(G4)=7,"更新",IF(MONTH(G4)=1,"ﾓﾆﾀ",""))</f>
        <v/>
      </c>
      <c r="P4" s="12" t="str">
        <f t="shared" ref="P4:P33" si="29">IF(MONTH(G4)=8,"更新",IF(MONTH(G4)=2,"ﾓﾆﾀ",""))</f>
        <v/>
      </c>
      <c r="Q4" s="12" t="str">
        <f t="shared" ref="Q4:Q33" si="30">IF(MONTH(G4)=9,"更新",IF(MONTH(G4)=3,"ﾓﾆﾀ",""))</f>
        <v/>
      </c>
      <c r="R4" s="12" t="str">
        <f t="shared" ref="R4:R33" si="31">IF(MONTH(G4)=10,"更新",IF(MONTH(G4)=4,"ﾓﾆﾀ",""))</f>
        <v/>
      </c>
      <c r="S4" s="12" t="str">
        <f t="shared" ref="S4:S33" si="32">IF(MONTH(G4)=11,"更新",IF(MONTH(G4)=5,"ﾓﾆﾀ",""))</f>
        <v/>
      </c>
      <c r="T4" s="12" t="str">
        <f t="shared" ref="T4:T33" si="33">IF(MONTH(G4)=12,"更新",IF(MONTH(G4)=6,"ﾓﾆﾀ",""))</f>
        <v>更新</v>
      </c>
      <c r="U4" s="12" t="str">
        <f t="shared" ref="U4:U33" si="34">IF(MONTH(G4)=1,"更新",IF(MONTH(G4)=7,"ﾓﾆﾀ",""))</f>
        <v/>
      </c>
      <c r="V4" s="12" t="str">
        <f t="shared" ref="V4:V33" si="35">IF(MONTH(G4)=2,"更新",IF(MONTH(G4)=8,"ﾓﾆﾀ",""))</f>
        <v/>
      </c>
      <c r="W4" s="12" t="str">
        <f t="shared" ref="W4:W33" si="36">IF(MONTH(G4)=3,"更新",IF(MONTH(G4)=9,"ﾓﾆﾀ",""))</f>
        <v/>
      </c>
      <c r="X4" s="34"/>
      <c r="Y4">
        <f t="shared" ref="Y4:Y61" ca="1" si="37">IF(C9="","",DATEDIF(C9,TODAY(),"Y"))</f>
        <v>73</v>
      </c>
      <c r="Z4" s="12" t="str">
        <f t="shared" si="24"/>
        <v>男</v>
      </c>
    </row>
    <row r="5" spans="1:27" ht="18.600000000000001" customHeight="1" thickTop="1" thickBot="1" x14ac:dyDescent="0.5">
      <c r="A5" s="158"/>
      <c r="B5" s="143"/>
      <c r="C5" s="83"/>
      <c r="D5" s="84"/>
      <c r="E5" s="84"/>
      <c r="F5" s="84"/>
      <c r="G5" s="85"/>
      <c r="H5" s="85"/>
      <c r="I5" s="85"/>
      <c r="J5" s="86"/>
      <c r="K5" s="87"/>
      <c r="L5" s="14" t="str">
        <f t="shared" si="25"/>
        <v/>
      </c>
      <c r="M5" s="14" t="str">
        <f t="shared" si="26"/>
        <v/>
      </c>
      <c r="N5" s="14" t="str">
        <f t="shared" si="27"/>
        <v/>
      </c>
      <c r="O5" s="14" t="str">
        <f t="shared" si="28"/>
        <v>ﾓﾆﾀ</v>
      </c>
      <c r="P5" s="14" t="str">
        <f t="shared" si="29"/>
        <v/>
      </c>
      <c r="Q5" s="14" t="str">
        <f t="shared" si="30"/>
        <v/>
      </c>
      <c r="R5" s="14" t="str">
        <f t="shared" si="31"/>
        <v/>
      </c>
      <c r="S5" s="14" t="str">
        <f t="shared" si="32"/>
        <v/>
      </c>
      <c r="T5" s="14" t="str">
        <f t="shared" si="33"/>
        <v/>
      </c>
      <c r="U5" s="14" t="str">
        <f t="shared" si="34"/>
        <v>更新</v>
      </c>
      <c r="V5" s="14" t="str">
        <f t="shared" si="35"/>
        <v/>
      </c>
      <c r="W5" s="14" t="str">
        <f t="shared" si="36"/>
        <v/>
      </c>
      <c r="X5" s="34"/>
      <c r="Y5">
        <f t="shared" ca="1" si="37"/>
        <v>58</v>
      </c>
      <c r="Z5" s="12">
        <f t="shared" si="24"/>
        <v>0</v>
      </c>
      <c r="AA5" t="s">
        <v>20</v>
      </c>
    </row>
    <row r="6" spans="1:27" ht="18.600000000000001" customHeight="1" thickTop="1" x14ac:dyDescent="0.45">
      <c r="A6" s="158">
        <v>102</v>
      </c>
      <c r="B6" s="7"/>
      <c r="C6" s="10"/>
      <c r="D6" s="13"/>
      <c r="E6" s="13"/>
      <c r="F6" s="13"/>
      <c r="G6" s="17"/>
      <c r="H6" s="17"/>
      <c r="I6" s="17"/>
      <c r="J6" s="18"/>
      <c r="K6" s="22"/>
      <c r="L6" s="13" t="str">
        <f t="shared" si="25"/>
        <v/>
      </c>
      <c r="M6" s="13" t="str">
        <f t="shared" si="26"/>
        <v/>
      </c>
      <c r="N6" s="13" t="str">
        <f t="shared" si="27"/>
        <v/>
      </c>
      <c r="O6" s="13" t="str">
        <f t="shared" si="28"/>
        <v>ﾓﾆﾀ</v>
      </c>
      <c r="P6" s="13" t="str">
        <f t="shared" si="29"/>
        <v/>
      </c>
      <c r="Q6" s="13" t="str">
        <f t="shared" si="30"/>
        <v/>
      </c>
      <c r="R6" s="13" t="str">
        <f t="shared" si="31"/>
        <v/>
      </c>
      <c r="S6" s="13" t="str">
        <f t="shared" si="32"/>
        <v/>
      </c>
      <c r="T6" s="13" t="str">
        <f t="shared" si="33"/>
        <v/>
      </c>
      <c r="U6" s="13" t="str">
        <f t="shared" si="34"/>
        <v>更新</v>
      </c>
      <c r="V6" s="13" t="str">
        <f t="shared" si="35"/>
        <v/>
      </c>
      <c r="W6" s="13" t="str">
        <f t="shared" si="36"/>
        <v/>
      </c>
      <c r="X6" s="34"/>
      <c r="Y6">
        <f t="shared" ca="1" si="37"/>
        <v>101</v>
      </c>
      <c r="Z6" s="12">
        <f t="shared" si="24"/>
        <v>0</v>
      </c>
    </row>
    <row r="7" spans="1:27" ht="18.600000000000001" customHeight="1" thickBot="1" x14ac:dyDescent="0.5">
      <c r="A7" s="158"/>
      <c r="B7" s="139" t="s">
        <v>21</v>
      </c>
      <c r="C7" s="83">
        <v>12889</v>
      </c>
      <c r="D7" s="84" t="str">
        <f t="shared" ref="D7" ca="1" si="38">IF(C7="","",DATEDIF(C7,TODAY(),"y")&amp;"歳")</f>
        <v>91歳</v>
      </c>
      <c r="E7" s="84" t="s">
        <v>11</v>
      </c>
      <c r="F7" s="84"/>
      <c r="G7" s="85">
        <v>46203</v>
      </c>
      <c r="H7" s="85">
        <v>45352</v>
      </c>
      <c r="I7" s="85"/>
      <c r="J7" s="86" t="s">
        <v>22</v>
      </c>
      <c r="K7" s="87">
        <v>9059214732</v>
      </c>
      <c r="L7" s="14" t="str">
        <f t="shared" si="25"/>
        <v/>
      </c>
      <c r="M7" s="14" t="str">
        <f t="shared" si="26"/>
        <v/>
      </c>
      <c r="N7" s="14" t="str">
        <f t="shared" si="27"/>
        <v>更新</v>
      </c>
      <c r="O7" s="14" t="str">
        <f t="shared" si="28"/>
        <v/>
      </c>
      <c r="P7" s="14" t="str">
        <f t="shared" si="29"/>
        <v/>
      </c>
      <c r="Q7" s="14" t="str">
        <f t="shared" si="30"/>
        <v/>
      </c>
      <c r="R7" s="14" t="str">
        <f t="shared" si="31"/>
        <v/>
      </c>
      <c r="S7" s="14" t="str">
        <f t="shared" si="32"/>
        <v/>
      </c>
      <c r="T7" s="14" t="str">
        <f t="shared" si="33"/>
        <v>ﾓﾆﾀ</v>
      </c>
      <c r="U7" s="14" t="str">
        <f t="shared" si="34"/>
        <v/>
      </c>
      <c r="V7" s="14" t="str">
        <f t="shared" si="35"/>
        <v/>
      </c>
      <c r="W7" s="14" t="str">
        <f t="shared" si="36"/>
        <v/>
      </c>
      <c r="X7" s="34"/>
      <c r="Y7">
        <f t="shared" ca="1" si="37"/>
        <v>88</v>
      </c>
      <c r="Z7" s="12" t="str">
        <f t="shared" si="24"/>
        <v>男</v>
      </c>
    </row>
    <row r="8" spans="1:27" ht="18.600000000000001" customHeight="1" thickTop="1" x14ac:dyDescent="0.45">
      <c r="A8" s="158"/>
      <c r="B8" s="44" t="s">
        <v>23</v>
      </c>
      <c r="C8" s="9">
        <v>16610</v>
      </c>
      <c r="D8" s="12" t="str">
        <f ca="1">IF(C8="","",DATEDIF(C8,TODAY(),"y")&amp;"歳")</f>
        <v>81歳</v>
      </c>
      <c r="E8" s="12" t="s">
        <v>11</v>
      </c>
      <c r="F8" s="12"/>
      <c r="G8" s="15">
        <v>45565</v>
      </c>
      <c r="H8" s="15">
        <v>44494</v>
      </c>
      <c r="I8" s="15"/>
      <c r="J8" s="6" t="s">
        <v>24</v>
      </c>
      <c r="K8" s="20" t="s">
        <v>25</v>
      </c>
      <c r="L8" s="12" t="str">
        <f t="shared" si="25"/>
        <v/>
      </c>
      <c r="M8" s="12" t="str">
        <f t="shared" si="26"/>
        <v/>
      </c>
      <c r="N8" s="12" t="str">
        <f t="shared" si="27"/>
        <v/>
      </c>
      <c r="O8" s="12" t="str">
        <f t="shared" si="28"/>
        <v/>
      </c>
      <c r="P8" s="12" t="str">
        <f t="shared" si="29"/>
        <v/>
      </c>
      <c r="Q8" s="12" t="str">
        <f t="shared" si="30"/>
        <v>更新</v>
      </c>
      <c r="R8" s="12" t="str">
        <f t="shared" si="31"/>
        <v/>
      </c>
      <c r="S8" s="12" t="str">
        <f t="shared" si="32"/>
        <v/>
      </c>
      <c r="T8" s="12" t="str">
        <f t="shared" si="33"/>
        <v/>
      </c>
      <c r="U8" s="12" t="str">
        <f t="shared" si="34"/>
        <v/>
      </c>
      <c r="V8" s="12" t="str">
        <f t="shared" si="35"/>
        <v/>
      </c>
      <c r="W8" s="12" t="str">
        <f t="shared" si="36"/>
        <v>ﾓﾆﾀ</v>
      </c>
      <c r="X8" s="34"/>
      <c r="Y8">
        <f t="shared" ca="1" si="37"/>
        <v>87</v>
      </c>
      <c r="Z8" s="12" t="str">
        <f t="shared" si="24"/>
        <v>男</v>
      </c>
    </row>
    <row r="9" spans="1:27" ht="18.600000000000001" customHeight="1" thickBot="1" x14ac:dyDescent="0.5">
      <c r="A9" s="161"/>
      <c r="B9" s="7" t="s">
        <v>26</v>
      </c>
      <c r="C9" s="10">
        <v>19477</v>
      </c>
      <c r="D9" s="12" t="str">
        <f t="shared" ref="D9:D10" ca="1" si="39">IF(C9="","",DATEDIF(C9,TODAY(),"y")&amp;"歳")</f>
        <v>73歳</v>
      </c>
      <c r="E9" s="13" t="s">
        <v>11</v>
      </c>
      <c r="F9" s="13">
        <v>5</v>
      </c>
      <c r="G9" s="17">
        <v>46418</v>
      </c>
      <c r="H9" s="17">
        <v>45694</v>
      </c>
      <c r="I9" s="17" t="s">
        <v>14</v>
      </c>
      <c r="J9" s="18" t="s">
        <v>27</v>
      </c>
      <c r="K9" s="22">
        <v>9097809121</v>
      </c>
      <c r="L9" s="14" t="str">
        <f t="shared" si="25"/>
        <v/>
      </c>
      <c r="M9" s="14" t="str">
        <f t="shared" si="26"/>
        <v/>
      </c>
      <c r="N9" s="14" t="str">
        <f t="shared" si="27"/>
        <v/>
      </c>
      <c r="O9" s="14" t="str">
        <f t="shared" si="28"/>
        <v>ﾓﾆﾀ</v>
      </c>
      <c r="P9" s="14" t="str">
        <f t="shared" si="29"/>
        <v/>
      </c>
      <c r="Q9" s="14" t="str">
        <f t="shared" si="30"/>
        <v/>
      </c>
      <c r="R9" s="14" t="str">
        <f t="shared" si="31"/>
        <v/>
      </c>
      <c r="S9" s="14" t="str">
        <f t="shared" si="32"/>
        <v/>
      </c>
      <c r="T9" s="14" t="str">
        <f t="shared" si="33"/>
        <v/>
      </c>
      <c r="U9" s="14" t="str">
        <f t="shared" si="34"/>
        <v>更新</v>
      </c>
      <c r="V9" s="14" t="str">
        <f t="shared" si="35"/>
        <v/>
      </c>
      <c r="W9" s="14" t="str">
        <f t="shared" si="36"/>
        <v/>
      </c>
      <c r="X9" s="34"/>
      <c r="Y9">
        <f t="shared" ca="1" si="37"/>
        <v>100</v>
      </c>
      <c r="Z9" s="12" t="str">
        <f t="shared" si="24"/>
        <v>男</v>
      </c>
    </row>
    <row r="10" spans="1:27" ht="18.600000000000001" customHeight="1" thickTop="1" x14ac:dyDescent="0.45">
      <c r="A10" s="162">
        <v>103</v>
      </c>
      <c r="B10" s="92" t="s">
        <v>28</v>
      </c>
      <c r="C10" s="10">
        <v>24777</v>
      </c>
      <c r="D10" s="13" t="str">
        <f t="shared" ca="1" si="39"/>
        <v>58歳</v>
      </c>
      <c r="E10" s="13" t="s">
        <v>29</v>
      </c>
      <c r="F10" s="13"/>
      <c r="G10" s="17">
        <v>45473</v>
      </c>
      <c r="H10" s="17">
        <v>44397</v>
      </c>
      <c r="I10" s="17"/>
      <c r="J10" s="18" t="s">
        <v>30</v>
      </c>
      <c r="K10" s="22">
        <v>9064213594</v>
      </c>
      <c r="L10" s="13" t="str">
        <f t="shared" si="25"/>
        <v/>
      </c>
      <c r="M10" s="13" t="str">
        <f t="shared" si="26"/>
        <v/>
      </c>
      <c r="N10" s="13" t="str">
        <f t="shared" si="27"/>
        <v>更新</v>
      </c>
      <c r="O10" s="13" t="str">
        <f t="shared" si="28"/>
        <v/>
      </c>
      <c r="P10" s="13" t="str">
        <f t="shared" si="29"/>
        <v/>
      </c>
      <c r="Q10" s="13" t="str">
        <f t="shared" si="30"/>
        <v/>
      </c>
      <c r="R10" s="13" t="str">
        <f t="shared" si="31"/>
        <v/>
      </c>
      <c r="S10" s="13" t="str">
        <f t="shared" si="32"/>
        <v/>
      </c>
      <c r="T10" s="13" t="str">
        <f t="shared" si="33"/>
        <v>ﾓﾆﾀ</v>
      </c>
      <c r="U10" s="13" t="str">
        <f t="shared" si="34"/>
        <v/>
      </c>
      <c r="V10" s="13" t="str">
        <f t="shared" si="35"/>
        <v/>
      </c>
      <c r="W10" s="13" t="str">
        <f t="shared" si="36"/>
        <v/>
      </c>
      <c r="X10" s="34"/>
      <c r="Y10">
        <f t="shared" ca="1" si="37"/>
        <v>96</v>
      </c>
      <c r="Z10" s="12" t="str">
        <f t="shared" si="24"/>
        <v>女</v>
      </c>
    </row>
    <row r="11" spans="1:27" ht="18.600000000000001" customHeight="1" thickBot="1" x14ac:dyDescent="0.5">
      <c r="A11" s="158"/>
      <c r="B11" s="44" t="s">
        <v>31</v>
      </c>
      <c r="C11" s="9">
        <v>9055</v>
      </c>
      <c r="D11" s="12" t="str">
        <f t="shared" ref="D11:D23" ca="1" si="40">IF(C11="","",DATEDIF(C11,TODAY(),"y")&amp;"歳")</f>
        <v>101歳</v>
      </c>
      <c r="E11" s="12" t="s">
        <v>29</v>
      </c>
      <c r="F11" s="12"/>
      <c r="G11" s="15">
        <v>45107</v>
      </c>
      <c r="H11" s="15">
        <v>42427</v>
      </c>
      <c r="I11" s="15"/>
      <c r="J11" s="6" t="s">
        <v>32</v>
      </c>
      <c r="K11" s="20">
        <v>9097833755</v>
      </c>
      <c r="L11" s="12" t="str">
        <f t="shared" si="25"/>
        <v/>
      </c>
      <c r="M11" s="12" t="str">
        <f t="shared" si="26"/>
        <v/>
      </c>
      <c r="N11" s="12" t="str">
        <f t="shared" si="27"/>
        <v>更新</v>
      </c>
      <c r="O11" s="12" t="str">
        <f t="shared" si="28"/>
        <v/>
      </c>
      <c r="P11" s="12" t="str">
        <f t="shared" si="29"/>
        <v/>
      </c>
      <c r="Q11" s="12" t="str">
        <f t="shared" si="30"/>
        <v/>
      </c>
      <c r="R11" s="12" t="str">
        <f t="shared" si="31"/>
        <v/>
      </c>
      <c r="S11" s="12" t="str">
        <f t="shared" si="32"/>
        <v/>
      </c>
      <c r="T11" s="12" t="str">
        <f t="shared" si="33"/>
        <v>ﾓﾆﾀ</v>
      </c>
      <c r="U11" s="12" t="str">
        <f t="shared" si="34"/>
        <v/>
      </c>
      <c r="V11" s="12" t="str">
        <f t="shared" si="35"/>
        <v/>
      </c>
      <c r="W11" s="12" t="str">
        <f t="shared" si="36"/>
        <v/>
      </c>
      <c r="X11" s="34"/>
      <c r="Y11">
        <f t="shared" ca="1" si="37"/>
        <v>95</v>
      </c>
      <c r="Z11" s="12" t="str">
        <f t="shared" si="24"/>
        <v>女</v>
      </c>
    </row>
    <row r="12" spans="1:27" ht="18.600000000000001" customHeight="1" thickTop="1" x14ac:dyDescent="0.45">
      <c r="A12" s="158"/>
      <c r="B12" s="44" t="s">
        <v>33</v>
      </c>
      <c r="C12" s="9">
        <v>13926</v>
      </c>
      <c r="D12" s="12" t="str">
        <f t="shared" ca="1" si="40"/>
        <v>88歳</v>
      </c>
      <c r="E12" s="12" t="s">
        <v>29</v>
      </c>
      <c r="F12" s="12">
        <v>4</v>
      </c>
      <c r="G12" s="15">
        <v>46660</v>
      </c>
      <c r="H12" s="15">
        <v>43928</v>
      </c>
      <c r="I12" s="15" t="s">
        <v>34</v>
      </c>
      <c r="J12" s="6" t="s">
        <v>35</v>
      </c>
      <c r="K12" s="20" t="s">
        <v>36</v>
      </c>
      <c r="L12" s="12" t="str">
        <f t="shared" si="25"/>
        <v/>
      </c>
      <c r="M12" s="12" t="str">
        <f t="shared" si="26"/>
        <v/>
      </c>
      <c r="N12" s="12" t="str">
        <f t="shared" si="27"/>
        <v/>
      </c>
      <c r="O12" s="12" t="str">
        <f t="shared" si="28"/>
        <v/>
      </c>
      <c r="P12" s="12" t="str">
        <f t="shared" si="29"/>
        <v/>
      </c>
      <c r="Q12" s="12" t="str">
        <f t="shared" si="30"/>
        <v>更新</v>
      </c>
      <c r="R12" s="12" t="str">
        <f t="shared" si="31"/>
        <v/>
      </c>
      <c r="S12" s="12" t="str">
        <f t="shared" si="32"/>
        <v/>
      </c>
      <c r="T12" s="12" t="str">
        <f t="shared" si="33"/>
        <v/>
      </c>
      <c r="U12" s="12" t="str">
        <f t="shared" si="34"/>
        <v/>
      </c>
      <c r="V12" s="12" t="str">
        <f t="shared" si="35"/>
        <v/>
      </c>
      <c r="W12" s="12" t="str">
        <f t="shared" si="36"/>
        <v>ﾓﾆﾀ</v>
      </c>
      <c r="X12" s="34"/>
      <c r="Y12">
        <f t="shared" ca="1" si="37"/>
        <v>85</v>
      </c>
      <c r="Z12" s="12" t="str">
        <f t="shared" si="24"/>
        <v>女</v>
      </c>
    </row>
    <row r="13" spans="1:27" ht="18.600000000000001" customHeight="1" thickBot="1" x14ac:dyDescent="0.5">
      <c r="A13" s="161"/>
      <c r="B13" s="8" t="s">
        <v>37</v>
      </c>
      <c r="C13" s="11">
        <v>14389</v>
      </c>
      <c r="D13" s="14" t="str">
        <f t="shared" ca="1" si="40"/>
        <v>87歳</v>
      </c>
      <c r="E13" s="12" t="s">
        <v>29</v>
      </c>
      <c r="F13" s="110">
        <v>4</v>
      </c>
      <c r="G13" s="16">
        <v>46507</v>
      </c>
      <c r="H13" s="16">
        <v>45441</v>
      </c>
      <c r="I13" s="16" t="s">
        <v>38</v>
      </c>
      <c r="J13" s="19" t="s">
        <v>39</v>
      </c>
      <c r="K13" s="21">
        <v>9040586332</v>
      </c>
      <c r="L13" s="14" t="str">
        <f t="shared" si="25"/>
        <v>更新</v>
      </c>
      <c r="M13" s="14" t="str">
        <f t="shared" si="26"/>
        <v/>
      </c>
      <c r="N13" s="14" t="str">
        <f t="shared" si="27"/>
        <v/>
      </c>
      <c r="O13" s="14" t="str">
        <f t="shared" si="28"/>
        <v/>
      </c>
      <c r="P13" s="14" t="str">
        <f t="shared" si="29"/>
        <v/>
      </c>
      <c r="Q13" s="14" t="str">
        <f t="shared" si="30"/>
        <v/>
      </c>
      <c r="R13" s="14" t="str">
        <f t="shared" si="31"/>
        <v>ﾓﾆﾀ</v>
      </c>
      <c r="S13" s="14" t="str">
        <f t="shared" si="32"/>
        <v/>
      </c>
      <c r="T13" s="14" t="str">
        <f t="shared" si="33"/>
        <v/>
      </c>
      <c r="U13" s="14" t="str">
        <f t="shared" si="34"/>
        <v/>
      </c>
      <c r="V13" s="14" t="str">
        <f t="shared" si="35"/>
        <v/>
      </c>
      <c r="W13" s="14" t="str">
        <f t="shared" si="36"/>
        <v/>
      </c>
      <c r="X13" s="34"/>
      <c r="Y13">
        <f t="shared" ca="1" si="37"/>
        <v>94</v>
      </c>
      <c r="Z13" s="12" t="str">
        <f t="shared" si="24"/>
        <v>女</v>
      </c>
    </row>
    <row r="14" spans="1:27" ht="18.600000000000001" customHeight="1" thickTop="1" x14ac:dyDescent="0.45">
      <c r="A14" s="162">
        <v>105</v>
      </c>
      <c r="B14" s="92" t="s">
        <v>40</v>
      </c>
      <c r="C14" s="10">
        <v>9680</v>
      </c>
      <c r="D14" s="13" t="str">
        <f t="shared" ca="1" si="40"/>
        <v>100歳</v>
      </c>
      <c r="E14" s="12" t="s">
        <v>29</v>
      </c>
      <c r="F14" s="13">
        <v>4</v>
      </c>
      <c r="G14" s="17">
        <v>46660</v>
      </c>
      <c r="H14" s="17">
        <v>42579</v>
      </c>
      <c r="I14" s="17" t="s">
        <v>41</v>
      </c>
      <c r="J14" s="18" t="s">
        <v>42</v>
      </c>
      <c r="K14" s="22" t="s">
        <v>43</v>
      </c>
      <c r="L14" s="13" t="str">
        <f t="shared" si="25"/>
        <v/>
      </c>
      <c r="M14" s="13" t="str">
        <f t="shared" si="26"/>
        <v/>
      </c>
      <c r="N14" s="13" t="str">
        <f t="shared" si="27"/>
        <v/>
      </c>
      <c r="O14" s="13" t="str">
        <f t="shared" si="28"/>
        <v/>
      </c>
      <c r="P14" s="13" t="str">
        <f t="shared" si="29"/>
        <v/>
      </c>
      <c r="Q14" s="13" t="str">
        <f t="shared" si="30"/>
        <v>更新</v>
      </c>
      <c r="R14" s="13" t="str">
        <f t="shared" si="31"/>
        <v/>
      </c>
      <c r="S14" s="13" t="str">
        <f t="shared" si="32"/>
        <v/>
      </c>
      <c r="T14" s="13" t="str">
        <f t="shared" si="33"/>
        <v/>
      </c>
      <c r="U14" s="13" t="str">
        <f t="shared" si="34"/>
        <v/>
      </c>
      <c r="V14" s="13" t="str">
        <f t="shared" si="35"/>
        <v/>
      </c>
      <c r="W14" s="13" t="str">
        <f t="shared" si="36"/>
        <v>ﾓﾆﾀ</v>
      </c>
      <c r="X14" s="34"/>
      <c r="Y14">
        <f t="shared" ca="1" si="37"/>
        <v>101</v>
      </c>
      <c r="Z14" s="12" t="str">
        <f t="shared" si="24"/>
        <v>女</v>
      </c>
    </row>
    <row r="15" spans="1:27" ht="18.600000000000001" customHeight="1" x14ac:dyDescent="0.45">
      <c r="A15" s="158"/>
      <c r="B15" s="44" t="s">
        <v>44</v>
      </c>
      <c r="C15" s="9">
        <v>10996</v>
      </c>
      <c r="D15" s="12" t="str">
        <f t="shared" ca="1" si="40"/>
        <v>96歳</v>
      </c>
      <c r="E15" s="12" t="s">
        <v>29</v>
      </c>
      <c r="F15" s="12">
        <v>5</v>
      </c>
      <c r="G15" s="15">
        <v>46326</v>
      </c>
      <c r="H15" s="15">
        <v>41264</v>
      </c>
      <c r="I15" s="15" t="s">
        <v>41</v>
      </c>
      <c r="J15" s="6" t="s">
        <v>45</v>
      </c>
      <c r="K15" s="20">
        <v>9075865167</v>
      </c>
      <c r="L15" s="12" t="str">
        <f t="shared" si="25"/>
        <v>ﾓﾆﾀ</v>
      </c>
      <c r="M15" s="12" t="str">
        <f t="shared" si="26"/>
        <v/>
      </c>
      <c r="N15" s="12" t="str">
        <f t="shared" si="27"/>
        <v/>
      </c>
      <c r="O15" s="12" t="str">
        <f t="shared" si="28"/>
        <v/>
      </c>
      <c r="P15" s="12" t="str">
        <f t="shared" si="29"/>
        <v/>
      </c>
      <c r="Q15" s="12" t="str">
        <f t="shared" si="30"/>
        <v/>
      </c>
      <c r="R15" s="12" t="str">
        <f t="shared" si="31"/>
        <v>更新</v>
      </c>
      <c r="S15" s="12" t="str">
        <f t="shared" si="32"/>
        <v/>
      </c>
      <c r="T15" s="12" t="str">
        <f t="shared" si="33"/>
        <v/>
      </c>
      <c r="U15" s="12" t="str">
        <f t="shared" si="34"/>
        <v/>
      </c>
      <c r="V15" s="12" t="str">
        <f t="shared" si="35"/>
        <v/>
      </c>
      <c r="W15" s="12" t="str">
        <f t="shared" si="36"/>
        <v/>
      </c>
      <c r="X15" s="34"/>
      <c r="Y15">
        <f t="shared" ca="1" si="37"/>
        <v>100</v>
      </c>
      <c r="Z15" s="12" t="str">
        <f t="shared" si="24"/>
        <v>女</v>
      </c>
    </row>
    <row r="16" spans="1:27" ht="18.600000000000001" customHeight="1" x14ac:dyDescent="0.45">
      <c r="A16" s="158"/>
      <c r="B16" s="44" t="s">
        <v>46</v>
      </c>
      <c r="C16" s="9">
        <v>11485</v>
      </c>
      <c r="D16" s="12" t="str">
        <f t="shared" ca="1" si="40"/>
        <v>95歳</v>
      </c>
      <c r="E16" s="12" t="s">
        <v>29</v>
      </c>
      <c r="F16" s="12">
        <v>5</v>
      </c>
      <c r="G16" s="15">
        <v>46265</v>
      </c>
      <c r="H16" s="15">
        <v>44208</v>
      </c>
      <c r="I16" s="15" t="s">
        <v>47</v>
      </c>
      <c r="J16" s="6" t="s">
        <v>48</v>
      </c>
      <c r="K16" s="20" t="s">
        <v>49</v>
      </c>
      <c r="L16" s="12" t="str">
        <f t="shared" si="25"/>
        <v/>
      </c>
      <c r="M16" s="12" t="str">
        <f t="shared" si="26"/>
        <v/>
      </c>
      <c r="N16" s="12" t="str">
        <f t="shared" si="27"/>
        <v/>
      </c>
      <c r="O16" s="12" t="str">
        <f t="shared" si="28"/>
        <v/>
      </c>
      <c r="P16" s="12" t="str">
        <f t="shared" si="29"/>
        <v>更新</v>
      </c>
      <c r="Q16" s="12" t="str">
        <f t="shared" si="30"/>
        <v/>
      </c>
      <c r="R16" s="12" t="str">
        <f t="shared" si="31"/>
        <v/>
      </c>
      <c r="S16" s="12" t="str">
        <f t="shared" si="32"/>
        <v/>
      </c>
      <c r="T16" s="12" t="str">
        <f t="shared" si="33"/>
        <v/>
      </c>
      <c r="U16" s="12" t="str">
        <f t="shared" si="34"/>
        <v/>
      </c>
      <c r="V16" s="12" t="str">
        <f t="shared" si="35"/>
        <v>ﾓﾆﾀ</v>
      </c>
      <c r="W16" s="12" t="str">
        <f t="shared" si="36"/>
        <v/>
      </c>
      <c r="X16" s="34"/>
      <c r="Y16">
        <f t="shared" ca="1" si="37"/>
        <v>96</v>
      </c>
      <c r="Z16" s="12" t="str">
        <f t="shared" si="24"/>
        <v>女</v>
      </c>
    </row>
    <row r="17" spans="1:26" ht="18.600000000000001" customHeight="1" thickBot="1" x14ac:dyDescent="0.5">
      <c r="A17" s="161"/>
      <c r="B17" s="89" t="s">
        <v>50</v>
      </c>
      <c r="C17" s="11">
        <v>14940</v>
      </c>
      <c r="D17" s="14" t="str">
        <f t="shared" ca="1" si="40"/>
        <v>85歳</v>
      </c>
      <c r="E17" s="12" t="s">
        <v>29</v>
      </c>
      <c r="F17" s="110">
        <v>5</v>
      </c>
      <c r="G17" s="16">
        <v>45961</v>
      </c>
      <c r="H17" s="16">
        <v>42437</v>
      </c>
      <c r="I17" s="16" t="s">
        <v>17</v>
      </c>
      <c r="J17" s="19" t="s">
        <v>51</v>
      </c>
      <c r="K17" s="21">
        <v>8017416023</v>
      </c>
      <c r="L17" s="14" t="str">
        <f t="shared" si="25"/>
        <v>ﾓﾆﾀ</v>
      </c>
      <c r="M17" s="14" t="str">
        <f t="shared" si="26"/>
        <v/>
      </c>
      <c r="N17" s="14" t="str">
        <f t="shared" si="27"/>
        <v/>
      </c>
      <c r="O17" s="14" t="str">
        <f t="shared" si="28"/>
        <v/>
      </c>
      <c r="P17" s="14" t="str">
        <f t="shared" si="29"/>
        <v/>
      </c>
      <c r="Q17" s="14" t="str">
        <f t="shared" si="30"/>
        <v/>
      </c>
      <c r="R17" s="14" t="str">
        <f t="shared" si="31"/>
        <v>更新</v>
      </c>
      <c r="S17" s="14" t="str">
        <f t="shared" si="32"/>
        <v/>
      </c>
      <c r="T17" s="14" t="str">
        <f t="shared" si="33"/>
        <v/>
      </c>
      <c r="U17" s="14" t="str">
        <f t="shared" si="34"/>
        <v/>
      </c>
      <c r="V17" s="14" t="str">
        <f t="shared" si="35"/>
        <v/>
      </c>
      <c r="W17" s="14" t="str">
        <f t="shared" si="36"/>
        <v/>
      </c>
      <c r="X17" s="34"/>
      <c r="Y17">
        <f t="shared" ca="1" si="37"/>
        <v>87</v>
      </c>
      <c r="Z17" s="12" t="str">
        <f t="shared" si="24"/>
        <v>女</v>
      </c>
    </row>
    <row r="18" spans="1:26" ht="18.600000000000001" customHeight="1" thickTop="1" x14ac:dyDescent="0.45">
      <c r="A18" s="162">
        <v>106</v>
      </c>
      <c r="B18" s="7" t="s">
        <v>52</v>
      </c>
      <c r="C18" s="10">
        <v>11874</v>
      </c>
      <c r="D18" s="13" t="str">
        <f t="shared" ca="1" si="40"/>
        <v>94歳</v>
      </c>
      <c r="E18" s="13" t="s">
        <v>29</v>
      </c>
      <c r="F18" s="13">
        <v>4</v>
      </c>
      <c r="G18" s="17">
        <v>46630</v>
      </c>
      <c r="H18" s="17">
        <v>45638</v>
      </c>
      <c r="I18" s="17" t="s">
        <v>41</v>
      </c>
      <c r="J18" s="18" t="s">
        <v>53</v>
      </c>
      <c r="K18" s="22">
        <v>9082915321</v>
      </c>
      <c r="L18" s="13" t="str">
        <f t="shared" si="25"/>
        <v/>
      </c>
      <c r="M18" s="13" t="str">
        <f t="shared" si="26"/>
        <v/>
      </c>
      <c r="N18" s="13" t="str">
        <f t="shared" si="27"/>
        <v/>
      </c>
      <c r="O18" s="13" t="str">
        <f t="shared" si="28"/>
        <v/>
      </c>
      <c r="P18" s="13" t="str">
        <f t="shared" si="29"/>
        <v>更新</v>
      </c>
      <c r="Q18" s="13" t="str">
        <f t="shared" si="30"/>
        <v/>
      </c>
      <c r="R18" s="13" t="str">
        <f t="shared" si="31"/>
        <v/>
      </c>
      <c r="S18" s="13" t="str">
        <f t="shared" si="32"/>
        <v/>
      </c>
      <c r="T18" s="13" t="str">
        <f t="shared" si="33"/>
        <v/>
      </c>
      <c r="U18" s="13" t="str">
        <f t="shared" si="34"/>
        <v/>
      </c>
      <c r="V18" s="13" t="str">
        <f t="shared" si="35"/>
        <v>ﾓﾆﾀ</v>
      </c>
      <c r="W18" s="13" t="str">
        <f t="shared" si="36"/>
        <v/>
      </c>
      <c r="X18" s="34"/>
      <c r="Y18">
        <f t="shared" ca="1" si="37"/>
        <v>91</v>
      </c>
      <c r="Z18" s="12" t="str">
        <f t="shared" si="24"/>
        <v>女</v>
      </c>
    </row>
    <row r="19" spans="1:26" ht="18.600000000000001" customHeight="1" x14ac:dyDescent="0.45">
      <c r="A19" s="158"/>
      <c r="B19" s="108" t="s">
        <v>54</v>
      </c>
      <c r="C19" s="10">
        <v>9030</v>
      </c>
      <c r="D19" s="13" t="str">
        <f t="shared" ca="1" si="40"/>
        <v>101歳</v>
      </c>
      <c r="E19" s="13" t="s">
        <v>29</v>
      </c>
      <c r="F19" s="13">
        <v>4</v>
      </c>
      <c r="G19" s="17">
        <v>46022</v>
      </c>
      <c r="H19" s="17">
        <v>45812</v>
      </c>
      <c r="I19" s="17" t="s">
        <v>55</v>
      </c>
      <c r="J19" s="18" t="s">
        <v>56</v>
      </c>
      <c r="K19" s="22">
        <v>9082934952</v>
      </c>
      <c r="L19" s="12" t="str">
        <f t="shared" si="25"/>
        <v/>
      </c>
      <c r="M19" s="12" t="str">
        <f t="shared" si="26"/>
        <v/>
      </c>
      <c r="N19" s="12" t="str">
        <f t="shared" si="27"/>
        <v>ﾓﾆﾀ</v>
      </c>
      <c r="O19" s="12" t="str">
        <f t="shared" si="28"/>
        <v/>
      </c>
      <c r="P19" s="12" t="str">
        <f t="shared" si="29"/>
        <v/>
      </c>
      <c r="Q19" s="12" t="str">
        <f t="shared" si="30"/>
        <v/>
      </c>
      <c r="R19" s="12" t="str">
        <f t="shared" si="31"/>
        <v/>
      </c>
      <c r="S19" s="12" t="str">
        <f t="shared" si="32"/>
        <v/>
      </c>
      <c r="T19" s="12" t="str">
        <f t="shared" si="33"/>
        <v>更新</v>
      </c>
      <c r="U19" s="12" t="str">
        <f t="shared" si="34"/>
        <v/>
      </c>
      <c r="V19" s="12" t="str">
        <f>IF(MONTH(G19)=2,"更新",IF(MONTH(G19)=8,"ﾓﾆﾀ",""))</f>
        <v/>
      </c>
      <c r="W19" s="12" t="str">
        <f t="shared" si="36"/>
        <v/>
      </c>
      <c r="X19" s="34"/>
      <c r="Y19">
        <f t="shared" ca="1" si="37"/>
        <v>88</v>
      </c>
      <c r="Z19" s="12" t="str">
        <f t="shared" si="24"/>
        <v>女</v>
      </c>
    </row>
    <row r="20" spans="1:26" ht="18.600000000000001" customHeight="1" x14ac:dyDescent="0.45">
      <c r="A20" s="158"/>
      <c r="B20" s="92" t="s">
        <v>57</v>
      </c>
      <c r="C20" s="10">
        <v>9349</v>
      </c>
      <c r="D20" s="13" t="str">
        <f t="shared" ca="1" si="40"/>
        <v>100歳</v>
      </c>
      <c r="E20" s="13" t="s">
        <v>29</v>
      </c>
      <c r="F20" s="13"/>
      <c r="G20" s="17">
        <v>45657</v>
      </c>
      <c r="H20" s="17">
        <v>43823</v>
      </c>
      <c r="I20" s="17"/>
      <c r="J20" s="18" t="s">
        <v>58</v>
      </c>
      <c r="K20" s="22">
        <v>8017452447</v>
      </c>
      <c r="L20" s="12" t="str">
        <f t="shared" si="25"/>
        <v/>
      </c>
      <c r="M20" s="12" t="str">
        <f t="shared" si="26"/>
        <v/>
      </c>
      <c r="N20" s="12" t="str">
        <f t="shared" si="27"/>
        <v>ﾓﾆﾀ</v>
      </c>
      <c r="O20" s="12" t="str">
        <f t="shared" si="28"/>
        <v/>
      </c>
      <c r="P20" s="12" t="str">
        <f t="shared" si="29"/>
        <v/>
      </c>
      <c r="Q20" s="12" t="str">
        <f t="shared" si="30"/>
        <v/>
      </c>
      <c r="R20" s="12" t="str">
        <f t="shared" si="31"/>
        <v/>
      </c>
      <c r="S20" s="12" t="str">
        <f t="shared" si="32"/>
        <v/>
      </c>
      <c r="T20" s="12" t="str">
        <f t="shared" si="33"/>
        <v>更新</v>
      </c>
      <c r="U20" s="12" t="str">
        <f t="shared" si="34"/>
        <v/>
      </c>
      <c r="V20" s="12" t="str">
        <f t="shared" si="35"/>
        <v/>
      </c>
      <c r="W20" s="12" t="str">
        <f t="shared" si="36"/>
        <v/>
      </c>
      <c r="X20" s="34"/>
      <c r="Y20">
        <f t="shared" ca="1" si="37"/>
        <v>84</v>
      </c>
      <c r="Z20" s="12" t="str">
        <f t="shared" si="24"/>
        <v>女</v>
      </c>
    </row>
    <row r="21" spans="1:26" ht="18.600000000000001" customHeight="1" thickBot="1" x14ac:dyDescent="0.5">
      <c r="A21" s="161"/>
      <c r="B21" s="89" t="s">
        <v>59</v>
      </c>
      <c r="C21" s="11">
        <v>11079</v>
      </c>
      <c r="D21" s="14" t="str">
        <f t="shared" ca="1" si="40"/>
        <v>96歳</v>
      </c>
      <c r="E21" s="14" t="s">
        <v>29</v>
      </c>
      <c r="F21" s="14"/>
      <c r="G21" s="16">
        <v>45230</v>
      </c>
      <c r="H21" s="16">
        <v>44855</v>
      </c>
      <c r="I21" s="16"/>
      <c r="J21" s="19" t="s">
        <v>60</v>
      </c>
      <c r="K21" s="21">
        <v>8064831200</v>
      </c>
      <c r="L21" s="14" t="str">
        <f t="shared" si="25"/>
        <v>ﾓﾆﾀ</v>
      </c>
      <c r="M21" s="14" t="str">
        <f t="shared" si="26"/>
        <v/>
      </c>
      <c r="N21" s="14" t="str">
        <f t="shared" si="27"/>
        <v/>
      </c>
      <c r="O21" s="14" t="str">
        <f t="shared" si="28"/>
        <v/>
      </c>
      <c r="P21" s="14" t="str">
        <f t="shared" si="29"/>
        <v/>
      </c>
      <c r="Q21" s="14" t="str">
        <f t="shared" si="30"/>
        <v/>
      </c>
      <c r="R21" s="14" t="str">
        <f t="shared" si="31"/>
        <v>更新</v>
      </c>
      <c r="S21" s="14" t="str">
        <f t="shared" si="32"/>
        <v/>
      </c>
      <c r="T21" s="14" t="str">
        <f t="shared" si="33"/>
        <v/>
      </c>
      <c r="U21" s="14" t="str">
        <f t="shared" si="34"/>
        <v/>
      </c>
      <c r="V21" s="14" t="str">
        <f t="shared" si="35"/>
        <v/>
      </c>
      <c r="W21" s="14" t="str">
        <f t="shared" si="36"/>
        <v/>
      </c>
      <c r="X21" s="34"/>
      <c r="Y21">
        <f t="shared" ca="1" si="37"/>
        <v>88</v>
      </c>
      <c r="Z21" s="12" t="str">
        <f t="shared" si="24"/>
        <v>女</v>
      </c>
    </row>
    <row r="22" spans="1:26" ht="18.600000000000001" customHeight="1" thickTop="1" x14ac:dyDescent="0.45">
      <c r="A22" s="162">
        <v>107</v>
      </c>
      <c r="B22" s="94" t="s">
        <v>61</v>
      </c>
      <c r="C22" s="9">
        <v>14134</v>
      </c>
      <c r="D22" s="12" t="str">
        <f t="shared" ref="D22" ca="1" si="41">IF(C22="","",DATEDIF(C22,TODAY(),"y")&amp;"歳")</f>
        <v>87歳</v>
      </c>
      <c r="E22" s="12" t="s">
        <v>29</v>
      </c>
      <c r="F22" s="12">
        <v>4</v>
      </c>
      <c r="G22" s="15">
        <v>46843</v>
      </c>
      <c r="H22" s="15">
        <v>46843</v>
      </c>
      <c r="I22" s="15" t="s">
        <v>47</v>
      </c>
      <c r="J22" s="6" t="s">
        <v>62</v>
      </c>
      <c r="K22" s="20">
        <v>8017707682</v>
      </c>
      <c r="L22" s="13" t="str">
        <f t="shared" si="25"/>
        <v/>
      </c>
      <c r="M22" s="13" t="str">
        <f t="shared" si="26"/>
        <v/>
      </c>
      <c r="N22" s="13" t="str">
        <f t="shared" si="27"/>
        <v/>
      </c>
      <c r="O22" s="13" t="str">
        <f t="shared" si="28"/>
        <v/>
      </c>
      <c r="P22" s="13" t="str">
        <f t="shared" si="29"/>
        <v/>
      </c>
      <c r="Q22" s="13" t="str">
        <f t="shared" si="30"/>
        <v>ﾓﾆﾀ</v>
      </c>
      <c r="R22" s="13" t="str">
        <f t="shared" si="31"/>
        <v/>
      </c>
      <c r="S22" s="13" t="str">
        <f t="shared" si="32"/>
        <v/>
      </c>
      <c r="T22" s="13" t="str">
        <f t="shared" si="33"/>
        <v/>
      </c>
      <c r="U22" s="13" t="str">
        <f t="shared" si="34"/>
        <v/>
      </c>
      <c r="V22" s="13" t="str">
        <f t="shared" si="35"/>
        <v/>
      </c>
      <c r="W22" s="13" t="str">
        <f t="shared" si="36"/>
        <v>更新</v>
      </c>
      <c r="X22" s="34"/>
      <c r="Y22">
        <f t="shared" ca="1" si="37"/>
        <v>93</v>
      </c>
      <c r="Z22" s="12" t="str">
        <f t="shared" si="24"/>
        <v>女</v>
      </c>
    </row>
    <row r="23" spans="1:26" ht="18.600000000000001" customHeight="1" x14ac:dyDescent="0.45">
      <c r="A23" s="158"/>
      <c r="B23" s="7" t="s">
        <v>63</v>
      </c>
      <c r="C23" s="10">
        <v>12648</v>
      </c>
      <c r="D23" s="13" t="str">
        <f t="shared" ca="1" si="40"/>
        <v>91歳</v>
      </c>
      <c r="E23" s="13" t="s">
        <v>29</v>
      </c>
      <c r="F23" s="13">
        <v>4</v>
      </c>
      <c r="G23" s="17">
        <v>46843</v>
      </c>
      <c r="H23" s="17">
        <v>45155</v>
      </c>
      <c r="I23" s="17" t="s">
        <v>41</v>
      </c>
      <c r="J23" s="18" t="s">
        <v>64</v>
      </c>
      <c r="K23" s="22">
        <v>9031961788</v>
      </c>
      <c r="L23" s="12" t="str">
        <f t="shared" si="25"/>
        <v/>
      </c>
      <c r="M23" s="12" t="str">
        <f t="shared" si="26"/>
        <v/>
      </c>
      <c r="N23" s="12" t="str">
        <f t="shared" si="27"/>
        <v/>
      </c>
      <c r="O23" s="12" t="str">
        <f t="shared" si="28"/>
        <v/>
      </c>
      <c r="P23" s="12" t="str">
        <f t="shared" si="29"/>
        <v/>
      </c>
      <c r="Q23" s="12" t="str">
        <f t="shared" si="30"/>
        <v>ﾓﾆﾀ</v>
      </c>
      <c r="R23" s="12" t="str">
        <f t="shared" si="31"/>
        <v/>
      </c>
      <c r="S23" s="12" t="str">
        <f t="shared" si="32"/>
        <v/>
      </c>
      <c r="T23" s="12" t="str">
        <f t="shared" si="33"/>
        <v/>
      </c>
      <c r="U23" s="12" t="str">
        <f t="shared" si="34"/>
        <v/>
      </c>
      <c r="V23" s="12" t="str">
        <f t="shared" si="35"/>
        <v/>
      </c>
      <c r="W23" s="12" t="str">
        <f t="shared" si="36"/>
        <v>更新</v>
      </c>
      <c r="X23" s="34"/>
      <c r="Y23">
        <f t="shared" ca="1" si="37"/>
        <v>98</v>
      </c>
      <c r="Z23" s="12" t="str">
        <f t="shared" si="24"/>
        <v>女</v>
      </c>
    </row>
    <row r="24" spans="1:26" ht="18.600000000000001" customHeight="1" x14ac:dyDescent="0.45">
      <c r="A24" s="158"/>
      <c r="B24" s="7" t="s">
        <v>65</v>
      </c>
      <c r="C24" s="10">
        <v>13716</v>
      </c>
      <c r="D24" s="13" t="str">
        <f t="shared" ref="D24" ca="1" si="42">IF(C24="","",DATEDIF(C24,TODAY(),"y")&amp;"歳")</f>
        <v>88歳</v>
      </c>
      <c r="E24" s="13" t="s">
        <v>29</v>
      </c>
      <c r="F24" s="13">
        <v>5</v>
      </c>
      <c r="G24" s="17">
        <v>46112</v>
      </c>
      <c r="H24" s="17">
        <v>46086</v>
      </c>
      <c r="I24" s="17" t="s">
        <v>14</v>
      </c>
      <c r="J24" s="18" t="s">
        <v>66</v>
      </c>
      <c r="K24" s="22">
        <v>8039886362</v>
      </c>
      <c r="L24" s="12" t="str">
        <f t="shared" si="25"/>
        <v/>
      </c>
      <c r="M24" s="12" t="str">
        <f t="shared" si="26"/>
        <v/>
      </c>
      <c r="N24" s="12" t="str">
        <f t="shared" si="27"/>
        <v/>
      </c>
      <c r="O24" s="12" t="str">
        <f t="shared" si="28"/>
        <v/>
      </c>
      <c r="P24" s="12" t="str">
        <f t="shared" si="29"/>
        <v/>
      </c>
      <c r="Q24" s="12" t="str">
        <f t="shared" si="30"/>
        <v>ﾓﾆﾀ</v>
      </c>
      <c r="R24" s="12" t="str">
        <f t="shared" si="31"/>
        <v/>
      </c>
      <c r="S24" s="12" t="str">
        <f t="shared" si="32"/>
        <v/>
      </c>
      <c r="T24" s="12" t="str">
        <f t="shared" si="33"/>
        <v/>
      </c>
      <c r="U24" s="12" t="str">
        <f t="shared" si="34"/>
        <v/>
      </c>
      <c r="V24" s="12" t="str">
        <f t="shared" si="35"/>
        <v/>
      </c>
      <c r="W24" s="12" t="str">
        <f t="shared" si="36"/>
        <v>更新</v>
      </c>
      <c r="X24" s="34"/>
      <c r="Y24">
        <f t="shared" ca="1" si="37"/>
        <v>92</v>
      </c>
      <c r="Z24" s="12" t="str">
        <f t="shared" si="24"/>
        <v>女</v>
      </c>
    </row>
    <row r="25" spans="1:26" ht="18.600000000000001" customHeight="1" thickBot="1" x14ac:dyDescent="0.5">
      <c r="A25" s="161"/>
      <c r="B25" s="89" t="s">
        <v>67</v>
      </c>
      <c r="C25" s="11">
        <v>15324</v>
      </c>
      <c r="D25" s="14" t="str">
        <f t="shared" ref="D25" ca="1" si="43">IF(C25="","",DATEDIF(C25,TODAY(),"y")&amp;"歳")</f>
        <v>84歳</v>
      </c>
      <c r="E25" s="14" t="s">
        <v>29</v>
      </c>
      <c r="F25" s="14"/>
      <c r="G25" s="16">
        <v>45382</v>
      </c>
      <c r="H25" s="16">
        <v>42502</v>
      </c>
      <c r="I25" s="16"/>
      <c r="J25" s="19" t="s">
        <v>68</v>
      </c>
      <c r="K25" s="21" t="s">
        <v>69</v>
      </c>
      <c r="L25" s="14" t="str">
        <f t="shared" si="25"/>
        <v/>
      </c>
      <c r="M25" s="14" t="str">
        <f t="shared" si="26"/>
        <v/>
      </c>
      <c r="N25" s="14" t="str">
        <f t="shared" si="27"/>
        <v/>
      </c>
      <c r="O25" s="14" t="str">
        <f t="shared" si="28"/>
        <v/>
      </c>
      <c r="P25" s="14" t="str">
        <f t="shared" si="29"/>
        <v/>
      </c>
      <c r="Q25" s="14" t="str">
        <f t="shared" si="30"/>
        <v>ﾓﾆﾀ</v>
      </c>
      <c r="R25" s="14" t="str">
        <f t="shared" si="31"/>
        <v/>
      </c>
      <c r="S25" s="14" t="str">
        <f t="shared" si="32"/>
        <v/>
      </c>
      <c r="T25" s="14" t="str">
        <f t="shared" si="33"/>
        <v/>
      </c>
      <c r="U25" s="14" t="str">
        <f t="shared" si="34"/>
        <v/>
      </c>
      <c r="V25" s="14" t="str">
        <f t="shared" si="35"/>
        <v/>
      </c>
      <c r="W25" s="14" t="str">
        <f t="shared" si="36"/>
        <v>更新</v>
      </c>
      <c r="X25" s="34"/>
      <c r="Y25">
        <f t="shared" ca="1" si="37"/>
        <v>98</v>
      </c>
      <c r="Z25" s="12" t="str">
        <f t="shared" si="24"/>
        <v>女</v>
      </c>
    </row>
    <row r="26" spans="1:26" ht="18.600000000000001" customHeight="1" thickTop="1" x14ac:dyDescent="0.45">
      <c r="A26" s="162">
        <v>108</v>
      </c>
      <c r="B26" s="4" t="s">
        <v>70</v>
      </c>
      <c r="C26" s="9">
        <v>13895</v>
      </c>
      <c r="D26" s="12" t="s">
        <v>71</v>
      </c>
      <c r="E26" s="12" t="s">
        <v>29</v>
      </c>
      <c r="F26" s="12">
        <v>5</v>
      </c>
      <c r="G26" s="15">
        <v>47087</v>
      </c>
      <c r="H26" s="15">
        <v>44816</v>
      </c>
      <c r="I26" s="15" t="s">
        <v>41</v>
      </c>
      <c r="J26" s="6" t="s">
        <v>72</v>
      </c>
      <c r="K26" s="20">
        <v>9097872663</v>
      </c>
      <c r="L26" s="13" t="str">
        <f t="shared" si="25"/>
        <v/>
      </c>
      <c r="M26" s="13" t="str">
        <f t="shared" si="26"/>
        <v>ﾓﾆﾀ</v>
      </c>
      <c r="N26" s="13" t="str">
        <f t="shared" si="27"/>
        <v/>
      </c>
      <c r="O26" s="13" t="str">
        <f t="shared" si="28"/>
        <v/>
      </c>
      <c r="P26" s="13" t="str">
        <f t="shared" si="29"/>
        <v/>
      </c>
      <c r="Q26" s="13" t="str">
        <f t="shared" si="30"/>
        <v/>
      </c>
      <c r="R26" s="13" t="str">
        <f t="shared" si="31"/>
        <v/>
      </c>
      <c r="S26" s="13" t="str">
        <f t="shared" si="32"/>
        <v>更新</v>
      </c>
      <c r="T26" s="13" t="str">
        <f t="shared" si="33"/>
        <v/>
      </c>
      <c r="U26" s="13" t="str">
        <f t="shared" si="34"/>
        <v/>
      </c>
      <c r="V26" s="13" t="str">
        <f t="shared" si="35"/>
        <v/>
      </c>
      <c r="W26" s="13" t="str">
        <f t="shared" si="36"/>
        <v/>
      </c>
      <c r="X26" s="34"/>
      <c r="Y26">
        <f ca="1">IF(C31="","",DATEDIF(C31,TODAY(),"Y"))</f>
        <v>87</v>
      </c>
      <c r="Z26" s="12" t="str">
        <f t="shared" si="24"/>
        <v>女</v>
      </c>
    </row>
    <row r="27" spans="1:26" ht="18.600000000000001" customHeight="1" x14ac:dyDescent="0.45">
      <c r="A27" s="158"/>
      <c r="B27" s="44" t="s">
        <v>73</v>
      </c>
      <c r="C27" s="9">
        <v>12147</v>
      </c>
      <c r="D27" s="12" t="str">
        <f t="shared" ref="D27:D50" ca="1" si="44">IF(C27="","",DATEDIF(C27,TODAY(),"y")&amp;"歳")</f>
        <v>93歳</v>
      </c>
      <c r="E27" s="12" t="s">
        <v>29</v>
      </c>
      <c r="F27" s="12">
        <v>5</v>
      </c>
      <c r="G27" s="15">
        <v>46538</v>
      </c>
      <c r="H27" s="15">
        <v>41883</v>
      </c>
      <c r="I27" s="15" t="s">
        <v>41</v>
      </c>
      <c r="J27" s="6" t="s">
        <v>74</v>
      </c>
      <c r="K27" s="20" t="s">
        <v>75</v>
      </c>
      <c r="L27" s="12" t="str">
        <f t="shared" si="25"/>
        <v/>
      </c>
      <c r="M27" s="12" t="str">
        <f t="shared" si="26"/>
        <v>更新</v>
      </c>
      <c r="N27" s="12" t="str">
        <f t="shared" si="27"/>
        <v/>
      </c>
      <c r="O27" s="12" t="str">
        <f t="shared" si="28"/>
        <v/>
      </c>
      <c r="P27" s="12" t="str">
        <f t="shared" si="29"/>
        <v/>
      </c>
      <c r="Q27" s="12" t="str">
        <f t="shared" si="30"/>
        <v/>
      </c>
      <c r="R27" s="12" t="str">
        <f t="shared" si="31"/>
        <v/>
      </c>
      <c r="S27" s="12" t="str">
        <f t="shared" si="32"/>
        <v>ﾓﾆﾀ</v>
      </c>
      <c r="T27" s="12" t="str">
        <f t="shared" si="33"/>
        <v/>
      </c>
      <c r="U27" s="12" t="str">
        <f t="shared" si="34"/>
        <v/>
      </c>
      <c r="V27" s="12" t="str">
        <f t="shared" si="35"/>
        <v/>
      </c>
      <c r="W27" s="12" t="str">
        <f t="shared" si="36"/>
        <v/>
      </c>
      <c r="X27" s="34"/>
      <c r="Y27">
        <f ca="1">IF(C32="","",DATEDIF(C32,TODAY(),"Y"))</f>
        <v>91</v>
      </c>
      <c r="Z27" s="12" t="str">
        <f t="shared" si="24"/>
        <v>女</v>
      </c>
    </row>
    <row r="28" spans="1:26" ht="18.600000000000001" customHeight="1" x14ac:dyDescent="0.45">
      <c r="A28" s="158"/>
      <c r="B28" s="4" t="s">
        <v>76</v>
      </c>
      <c r="C28" s="9">
        <v>10314</v>
      </c>
      <c r="D28" s="12" t="str">
        <f t="shared" ref="D28:D29" ca="1" si="45">IF(C28="","",DATEDIF(C28,TODAY(),"y")&amp;"歳")</f>
        <v>98歳</v>
      </c>
      <c r="E28" s="12" t="s">
        <v>29</v>
      </c>
      <c r="F28" s="12">
        <v>4</v>
      </c>
      <c r="G28" s="15">
        <v>46477</v>
      </c>
      <c r="H28" s="15">
        <v>43182</v>
      </c>
      <c r="I28" s="15" t="s">
        <v>55</v>
      </c>
      <c r="J28" s="6" t="s">
        <v>77</v>
      </c>
      <c r="K28" s="20" t="s">
        <v>78</v>
      </c>
      <c r="L28" s="12" t="str">
        <f t="shared" si="25"/>
        <v/>
      </c>
      <c r="M28" s="12" t="str">
        <f t="shared" si="26"/>
        <v/>
      </c>
      <c r="N28" s="12" t="str">
        <f t="shared" si="27"/>
        <v/>
      </c>
      <c r="O28" s="12" t="str">
        <f t="shared" si="28"/>
        <v/>
      </c>
      <c r="P28" s="12" t="str">
        <f t="shared" si="29"/>
        <v/>
      </c>
      <c r="Q28" s="12" t="str">
        <f t="shared" si="30"/>
        <v>ﾓﾆﾀ</v>
      </c>
      <c r="R28" s="12" t="str">
        <f t="shared" si="31"/>
        <v/>
      </c>
      <c r="S28" s="12" t="str">
        <f t="shared" si="32"/>
        <v/>
      </c>
      <c r="T28" s="12" t="str">
        <f t="shared" si="33"/>
        <v/>
      </c>
      <c r="U28" s="12" t="str">
        <f t="shared" si="34"/>
        <v/>
      </c>
      <c r="V28" s="12" t="str">
        <f t="shared" si="35"/>
        <v/>
      </c>
      <c r="W28" s="12" t="str">
        <f t="shared" si="36"/>
        <v>更新</v>
      </c>
      <c r="X28" s="34"/>
      <c r="Y28">
        <f t="shared" ca="1" si="37"/>
        <v>93</v>
      </c>
      <c r="Z28" s="12" t="str">
        <f t="shared" si="24"/>
        <v>女</v>
      </c>
    </row>
    <row r="29" spans="1:26" ht="18.600000000000001" customHeight="1" thickBot="1" x14ac:dyDescent="0.5">
      <c r="A29" s="161"/>
      <c r="B29" s="8" t="s">
        <v>79</v>
      </c>
      <c r="C29" s="11">
        <v>12284</v>
      </c>
      <c r="D29" s="14" t="str">
        <f t="shared" ca="1" si="45"/>
        <v>92歳</v>
      </c>
      <c r="E29" s="14" t="s">
        <v>29</v>
      </c>
      <c r="F29" s="14">
        <v>5</v>
      </c>
      <c r="G29" s="16">
        <v>46568</v>
      </c>
      <c r="H29" s="16">
        <v>44284</v>
      </c>
      <c r="I29" s="16" t="s">
        <v>41</v>
      </c>
      <c r="J29" s="19" t="s">
        <v>80</v>
      </c>
      <c r="K29" s="21" t="s">
        <v>81</v>
      </c>
      <c r="L29" s="14" t="str">
        <f t="shared" si="25"/>
        <v/>
      </c>
      <c r="M29" s="14" t="str">
        <f t="shared" si="26"/>
        <v/>
      </c>
      <c r="N29" s="14" t="str">
        <f t="shared" si="27"/>
        <v>更新</v>
      </c>
      <c r="O29" s="14" t="str">
        <f t="shared" si="28"/>
        <v/>
      </c>
      <c r="P29" s="14" t="str">
        <f t="shared" si="29"/>
        <v/>
      </c>
      <c r="Q29" s="14" t="str">
        <f t="shared" si="30"/>
        <v/>
      </c>
      <c r="R29" s="14" t="str">
        <f t="shared" si="31"/>
        <v/>
      </c>
      <c r="S29" s="14" t="str">
        <f t="shared" si="32"/>
        <v/>
      </c>
      <c r="T29" s="14" t="str">
        <f t="shared" si="33"/>
        <v>ﾓﾆﾀ</v>
      </c>
      <c r="U29" s="14" t="str">
        <f t="shared" si="34"/>
        <v/>
      </c>
      <c r="V29" s="14" t="str">
        <f t="shared" si="35"/>
        <v/>
      </c>
      <c r="W29" s="14" t="str">
        <f t="shared" si="36"/>
        <v/>
      </c>
      <c r="X29" s="34"/>
      <c r="Y29" t="str">
        <f t="shared" ca="1" si="37"/>
        <v/>
      </c>
      <c r="Z29" s="12" t="str">
        <f t="shared" si="24"/>
        <v>女</v>
      </c>
    </row>
    <row r="30" spans="1:26" ht="18.600000000000001" customHeight="1" thickTop="1" x14ac:dyDescent="0.45">
      <c r="A30" s="162">
        <v>109</v>
      </c>
      <c r="B30" s="92" t="s">
        <v>82</v>
      </c>
      <c r="C30" s="10">
        <v>10203</v>
      </c>
      <c r="D30" s="13" t="str">
        <f ca="1">IF(C30="","",DATEDIF(C30,TODAY(),"y")&amp;"歳")</f>
        <v>98歳</v>
      </c>
      <c r="E30" s="13" t="s">
        <v>29</v>
      </c>
      <c r="F30" s="13"/>
      <c r="G30" s="17">
        <v>45169</v>
      </c>
      <c r="H30" s="17">
        <v>44182</v>
      </c>
      <c r="I30" s="17"/>
      <c r="J30" s="18" t="s">
        <v>83</v>
      </c>
      <c r="K30" s="22">
        <v>9075853085</v>
      </c>
      <c r="L30" s="13" t="str">
        <f t="shared" si="25"/>
        <v/>
      </c>
      <c r="M30" s="13" t="str">
        <f t="shared" si="26"/>
        <v/>
      </c>
      <c r="N30" s="13" t="str">
        <f t="shared" si="27"/>
        <v/>
      </c>
      <c r="O30" s="13" t="str">
        <f t="shared" si="28"/>
        <v/>
      </c>
      <c r="P30" s="13" t="str">
        <f t="shared" si="29"/>
        <v>更新</v>
      </c>
      <c r="Q30" s="13" t="str">
        <f t="shared" si="30"/>
        <v/>
      </c>
      <c r="R30" s="13" t="str">
        <f t="shared" si="31"/>
        <v/>
      </c>
      <c r="S30" s="13" t="str">
        <f t="shared" si="32"/>
        <v/>
      </c>
      <c r="T30" s="13" t="str">
        <f t="shared" si="33"/>
        <v/>
      </c>
      <c r="U30" s="13" t="str">
        <f t="shared" si="34"/>
        <v/>
      </c>
      <c r="V30" s="13" t="str">
        <f t="shared" si="35"/>
        <v>ﾓﾆﾀ</v>
      </c>
      <c r="W30" s="13" t="str">
        <f t="shared" si="36"/>
        <v/>
      </c>
      <c r="X30" s="34"/>
      <c r="Y30">
        <f t="shared" ca="1" si="37"/>
        <v>93</v>
      </c>
      <c r="Z30" s="12" t="str">
        <f t="shared" si="24"/>
        <v>女</v>
      </c>
    </row>
    <row r="31" spans="1:26" ht="18.600000000000001" customHeight="1" thickBot="1" x14ac:dyDescent="0.5">
      <c r="A31" s="158"/>
      <c r="B31" s="107" t="s">
        <v>84</v>
      </c>
      <c r="C31" s="11">
        <v>14102</v>
      </c>
      <c r="D31" s="14" t="str">
        <f t="shared" ref="D31" ca="1" si="46">IF(C31="","",DATEDIF(C31,TODAY(),"y")&amp;"歳")</f>
        <v>87歳</v>
      </c>
      <c r="E31" s="14" t="s">
        <v>29</v>
      </c>
      <c r="F31" s="14">
        <v>4</v>
      </c>
      <c r="G31" s="16">
        <v>46022</v>
      </c>
      <c r="H31" s="16">
        <v>45323</v>
      </c>
      <c r="I31" s="16" t="s">
        <v>41</v>
      </c>
      <c r="J31" s="19" t="s">
        <v>85</v>
      </c>
      <c r="K31" s="21">
        <v>9074654931</v>
      </c>
      <c r="L31" s="12" t="str">
        <f>IF(MONTH(G31)=4,"更新",IF(MONTH(G31)=10,"ﾓﾆﾀ",""))</f>
        <v/>
      </c>
      <c r="M31" s="12" t="str">
        <f>IF(MONTH(G31)=5,"更新",IF(MONTH(G31)=11,"ﾓﾆﾀ",""))</f>
        <v/>
      </c>
      <c r="N31" s="12" t="str">
        <f>IF(MONTH(G31)=6,"更新",IF(MONTH(G31)=12,"ﾓﾆﾀ",""))</f>
        <v>ﾓﾆﾀ</v>
      </c>
      <c r="O31" s="12" t="str">
        <f>IF(MONTH(G31)=7,"更新",IF(MONTH(G31)=1,"ﾓﾆﾀ",""))</f>
        <v/>
      </c>
      <c r="P31" s="12" t="str">
        <f>IF(MONTH(G31)=8,"更新",IF(MONTH(G31)=2,"ﾓﾆﾀ",""))</f>
        <v/>
      </c>
      <c r="Q31" s="12" t="str">
        <f>IF(MONTH(G31)=9,"更新",IF(MONTH(G31)=3,"ﾓﾆﾀ",""))</f>
        <v/>
      </c>
      <c r="R31" s="12" t="str">
        <f>IF(MONTH(G31)=10,"更新",IF(MONTH(G31)=4,"ﾓﾆﾀ",""))</f>
        <v/>
      </c>
      <c r="S31" s="12" t="str">
        <f>IF(MONTH(G31)=11,"更新",IF(MONTH(G31)=5,"ﾓﾆﾀ",""))</f>
        <v/>
      </c>
      <c r="T31" s="12" t="str">
        <f>IF(MONTH(G31)=12,"更新",IF(MONTH(G31)=6,"ﾓﾆﾀ",""))</f>
        <v>更新</v>
      </c>
      <c r="U31" s="12" t="str">
        <f>IF(MONTH(G31)=1,"更新",IF(MONTH(G31)=7,"ﾓﾆﾀ",""))</f>
        <v/>
      </c>
      <c r="V31" s="12" t="str">
        <f>IF(MONTH(G31)=2,"更新",IF(MONTH(G31)=8,"ﾓﾆﾀ",""))</f>
        <v/>
      </c>
      <c r="W31" s="12" t="str">
        <f>IF(MONTH(G31)=3,"更新",IF(MONTH(G31)=9,"ﾓﾆﾀ",""))</f>
        <v/>
      </c>
      <c r="X31" s="34"/>
      <c r="Y31">
        <f t="shared" ca="1" si="37"/>
        <v>82</v>
      </c>
      <c r="Z31" s="12" t="str">
        <f>E31</f>
        <v>女</v>
      </c>
    </row>
    <row r="32" spans="1:26" ht="18.600000000000001" customHeight="1" thickTop="1" x14ac:dyDescent="0.45">
      <c r="A32" s="158"/>
      <c r="B32" s="92" t="s">
        <v>86</v>
      </c>
      <c r="C32" s="10">
        <v>12966</v>
      </c>
      <c r="D32" s="13" t="str">
        <f t="shared" ref="D32:D33" ca="1" si="47">IF(C32="","",DATEDIF(C32,TODAY(),"y")&amp;"歳")</f>
        <v>91歳</v>
      </c>
      <c r="E32" s="13" t="s">
        <v>29</v>
      </c>
      <c r="F32" s="13"/>
      <c r="G32" s="17">
        <v>45291</v>
      </c>
      <c r="H32" s="17">
        <v>42916</v>
      </c>
      <c r="I32" s="17"/>
      <c r="J32" s="18" t="s">
        <v>87</v>
      </c>
      <c r="K32" s="22">
        <v>7058133776</v>
      </c>
      <c r="L32" s="12" t="str">
        <f>IF(MONTH(G32)=4,"更新",IF(MONTH(G32)=10,"ﾓﾆﾀ",""))</f>
        <v/>
      </c>
      <c r="M32" s="12" t="str">
        <f>IF(MONTH(G32)=5,"更新",IF(MONTH(G32)=11,"ﾓﾆﾀ",""))</f>
        <v/>
      </c>
      <c r="N32" s="12" t="str">
        <f>IF(MONTH(G32)=6,"更新",IF(MONTH(G32)=12,"ﾓﾆﾀ",""))</f>
        <v>ﾓﾆﾀ</v>
      </c>
      <c r="O32" s="12" t="str">
        <f>IF(MONTH(G32)=7,"更新",IF(MONTH(G32)=1,"ﾓﾆﾀ",""))</f>
        <v/>
      </c>
      <c r="P32" s="12" t="str">
        <f>IF(MONTH(G32)=8,"更新",IF(MONTH(G32)=2,"ﾓﾆﾀ",""))</f>
        <v/>
      </c>
      <c r="Q32" s="12" t="str">
        <f>IF(MONTH(G32)=9,"更新",IF(MONTH(G32)=3,"ﾓﾆﾀ",""))</f>
        <v/>
      </c>
      <c r="R32" s="12" t="str">
        <f>IF(MONTH(G32)=10,"更新",IF(MONTH(G32)=4,"ﾓﾆﾀ",""))</f>
        <v/>
      </c>
      <c r="S32" s="12" t="str">
        <f>IF(MONTH(G32)=11,"更新",IF(MONTH(G32)=5,"ﾓﾆﾀ",""))</f>
        <v/>
      </c>
      <c r="T32" s="12" t="str">
        <f>IF(MONTH(G32)=12,"更新",IF(MONTH(G32)=6,"ﾓﾆﾀ",""))</f>
        <v>更新</v>
      </c>
      <c r="U32" s="12" t="str">
        <f>IF(MONTH(G32)=1,"更新",IF(MONTH(G32)=7,"ﾓﾆﾀ",""))</f>
        <v/>
      </c>
      <c r="V32" s="12" t="str">
        <f>IF(MONTH(G32)=2,"更新",IF(MONTH(G32)=8,"ﾓﾆﾀ",""))</f>
        <v/>
      </c>
      <c r="W32" s="12" t="str">
        <f>IF(MONTH(G32)=3,"更新",IF(MONTH(G32)=9,"ﾓﾆﾀ",""))</f>
        <v/>
      </c>
      <c r="X32" s="34"/>
    </row>
    <row r="33" spans="1:26" ht="18.600000000000001" thickBot="1" x14ac:dyDescent="0.5">
      <c r="A33" s="161"/>
      <c r="B33" s="7" t="s">
        <v>88</v>
      </c>
      <c r="C33" s="10">
        <v>12186</v>
      </c>
      <c r="D33" s="13" t="str">
        <f t="shared" ca="1" si="47"/>
        <v>93歳</v>
      </c>
      <c r="E33" s="13" t="s">
        <v>29</v>
      </c>
      <c r="F33" s="13">
        <v>4</v>
      </c>
      <c r="G33" s="17">
        <v>47330</v>
      </c>
      <c r="H33" s="17">
        <v>46106</v>
      </c>
      <c r="I33" s="17" t="s">
        <v>89</v>
      </c>
      <c r="J33" s="18"/>
      <c r="K33" s="22"/>
      <c r="L33" s="14" t="str">
        <f t="shared" si="25"/>
        <v/>
      </c>
      <c r="M33" s="14" t="str">
        <f t="shared" si="26"/>
        <v/>
      </c>
      <c r="N33" s="14" t="str">
        <f t="shared" si="27"/>
        <v/>
      </c>
      <c r="O33" s="14" t="str">
        <f t="shared" si="28"/>
        <v>更新</v>
      </c>
      <c r="P33" s="14" t="str">
        <f t="shared" si="29"/>
        <v/>
      </c>
      <c r="Q33" s="14" t="str">
        <f t="shared" si="30"/>
        <v/>
      </c>
      <c r="R33" s="14" t="str">
        <f t="shared" si="31"/>
        <v/>
      </c>
      <c r="S33" s="14" t="str">
        <f t="shared" si="32"/>
        <v/>
      </c>
      <c r="T33" s="14" t="str">
        <f t="shared" si="33"/>
        <v/>
      </c>
      <c r="U33" s="14" t="str">
        <f t="shared" si="34"/>
        <v>ﾓﾆﾀ</v>
      </c>
      <c r="V33" s="14" t="str">
        <f t="shared" si="35"/>
        <v/>
      </c>
      <c r="W33" s="14" t="str">
        <f t="shared" si="36"/>
        <v/>
      </c>
      <c r="X33" s="34"/>
    </row>
    <row r="34" spans="1:26" ht="30" customHeight="1" thickTop="1" x14ac:dyDescent="0.45">
      <c r="A34" s="31" t="s">
        <v>90</v>
      </c>
      <c r="B34" s="31"/>
      <c r="C34" s="31"/>
      <c r="D34" s="31"/>
      <c r="E34" s="31"/>
      <c r="F34" s="31"/>
      <c r="G34" s="31"/>
      <c r="H34" s="37"/>
      <c r="I34" s="112"/>
      <c r="J34" s="30"/>
      <c r="K34" s="29"/>
      <c r="L34" s="29"/>
      <c r="M34" s="29"/>
      <c r="N34" s="29"/>
      <c r="O34" s="29"/>
      <c r="P34" s="29"/>
      <c r="Q34" s="29"/>
      <c r="R34" s="29"/>
      <c r="S34" s="29"/>
      <c r="T34" s="29"/>
      <c r="U34" s="29"/>
      <c r="V34" s="29"/>
      <c r="W34" s="74"/>
      <c r="X34" s="32"/>
    </row>
    <row r="35" spans="1:26" ht="18" x14ac:dyDescent="0.45">
      <c r="A35" s="162">
        <v>201</v>
      </c>
      <c r="B35" s="43" t="s">
        <v>91</v>
      </c>
      <c r="C35" s="9">
        <v>11906</v>
      </c>
      <c r="D35" s="12" t="str">
        <f t="shared" ref="D35" ca="1" si="48">IF(C35="","",DATEDIF(C35,TODAY(),"y")&amp;"歳")</f>
        <v>93歳</v>
      </c>
      <c r="E35" s="12" t="s">
        <v>29</v>
      </c>
      <c r="F35" s="12">
        <v>3</v>
      </c>
      <c r="G35" s="15">
        <v>46112</v>
      </c>
      <c r="H35" s="15">
        <v>45595</v>
      </c>
      <c r="I35" s="15" t="s">
        <v>41</v>
      </c>
      <c r="J35" s="6" t="s">
        <v>92</v>
      </c>
      <c r="K35" s="20">
        <v>9068593199</v>
      </c>
      <c r="L35" s="12" t="str">
        <f>IF(MONTH(G35)=4,"更新",IF(MONTH(G35)=10,"ﾓﾆﾀ",""))</f>
        <v/>
      </c>
      <c r="M35" s="12" t="str">
        <f>IF(MONTH(G35)=5,"更新",IF(MONTH(G35)=11,"ﾓﾆﾀ",""))</f>
        <v/>
      </c>
      <c r="N35" s="12" t="str">
        <f>IF(MONTH(G35)=6,"更新",IF(MONTH(G35)=12,"ﾓﾆﾀ",""))</f>
        <v/>
      </c>
      <c r="O35" s="12" t="str">
        <f>IF(MONTH(G35)=7,"更新",IF(MONTH(G35)=1,"ﾓﾆﾀ",""))</f>
        <v/>
      </c>
      <c r="P35" s="12" t="str">
        <f>IF(MONTH(G35)=8,"更新",IF(MONTH(G35)=2,"ﾓﾆﾀ",""))</f>
        <v/>
      </c>
      <c r="Q35" s="12" t="str">
        <f>IF(MONTH(G35)=9,"更新",IF(MONTH(G35)=3,"ﾓﾆﾀ",""))</f>
        <v>ﾓﾆﾀ</v>
      </c>
      <c r="R35" s="12" t="str">
        <f>IF(MONTH(G35)=10,"更新",IF(MONTH(G35)=4,"ﾓﾆﾀ",""))</f>
        <v/>
      </c>
      <c r="S35" s="12" t="str">
        <f>IF(MONTH(G35)=11,"更新",IF(MONTH(G35)=5,"ﾓﾆﾀ",""))</f>
        <v/>
      </c>
      <c r="T35" s="12" t="str">
        <f>IF(MONTH(G35)=12,"更新",IF(MONTH(G35)=6,"ﾓﾆﾀ",""))</f>
        <v/>
      </c>
      <c r="U35" s="12" t="str">
        <f>IF(MONTH(G35)=1,"更新",IF(MONTH(G35)=7,"ﾓﾆﾀ",""))</f>
        <v/>
      </c>
      <c r="V35" s="12" t="str">
        <f>IF(MONTH(G35)=2,"更新",IF(MONTH(G35)=8,"ﾓﾆﾀ",""))</f>
        <v/>
      </c>
      <c r="W35" s="12" t="str">
        <f>IF(MONTH(G35)=3,"更新",IF(MONTH(G35)=9,"ﾓﾆﾀ",""))</f>
        <v>更新</v>
      </c>
      <c r="X35" s="34"/>
    </row>
    <row r="36" spans="1:26" ht="18" x14ac:dyDescent="0.45">
      <c r="A36" s="158"/>
      <c r="B36" s="4" t="s">
        <v>93</v>
      </c>
      <c r="C36" s="9">
        <v>16233</v>
      </c>
      <c r="D36" s="12" t="str">
        <f t="shared" ref="D36" ca="1" si="49">IF(C36="","",DATEDIF(C36,TODAY(),"y")&amp;"歳")</f>
        <v>82歳</v>
      </c>
      <c r="E36" s="12" t="s">
        <v>29</v>
      </c>
      <c r="F36" s="12"/>
      <c r="G36" s="15">
        <v>45199</v>
      </c>
      <c r="H36" s="15">
        <v>45099</v>
      </c>
      <c r="I36" s="15"/>
      <c r="J36" s="6" t="s">
        <v>94</v>
      </c>
      <c r="K36" s="20" t="s">
        <v>95</v>
      </c>
      <c r="L36" s="12" t="str">
        <f t="shared" ref="L36:L58" si="50">IF(MONTH(G36)=4,"更新",IF(MONTH(G36)=10,"ﾓﾆﾀ",""))</f>
        <v/>
      </c>
      <c r="M36" s="12" t="str">
        <f t="shared" ref="M36:M58" si="51">IF(MONTH(G36)=5,"更新",IF(MONTH(G36)=11,"ﾓﾆﾀ",""))</f>
        <v/>
      </c>
      <c r="N36" s="12" t="str">
        <f t="shared" ref="N36:N58" si="52">IF(MONTH(G36)=6,"更新",IF(MONTH(G36)=12,"ﾓﾆﾀ",""))</f>
        <v/>
      </c>
      <c r="O36" s="12" t="str">
        <f t="shared" ref="O36:O58" si="53">IF(MONTH(G36)=7,"更新",IF(MONTH(G36)=1,"ﾓﾆﾀ",""))</f>
        <v/>
      </c>
      <c r="P36" s="12" t="str">
        <f t="shared" ref="P36:P58" si="54">IF(MONTH(G36)=8,"更新",IF(MONTH(G36)=2,"ﾓﾆﾀ",""))</f>
        <v/>
      </c>
      <c r="Q36" s="12" t="str">
        <f t="shared" ref="Q36:Q58" si="55">IF(MONTH(G36)=9,"更新",IF(MONTH(G36)=3,"ﾓﾆﾀ",""))</f>
        <v>更新</v>
      </c>
      <c r="R36" s="12" t="str">
        <f t="shared" ref="R36:R58" si="56">IF(MONTH(G36)=10,"更新",IF(MONTH(G36)=4,"ﾓﾆﾀ",""))</f>
        <v/>
      </c>
      <c r="S36" s="12" t="str">
        <f t="shared" ref="S36:S58" si="57">IF(MONTH(G36)=11,"更新",IF(MONTH(G36)=5,"ﾓﾆﾀ",""))</f>
        <v/>
      </c>
      <c r="T36" s="12" t="str">
        <f t="shared" ref="T36:T58" si="58">IF(MONTH(G36)=12,"更新",IF(MONTH(G36)=6,"ﾓﾆﾀ",""))</f>
        <v/>
      </c>
      <c r="U36" s="12" t="str">
        <f t="shared" ref="U36:U58" si="59">IF(MONTH(G36)=1,"更新",IF(MONTH(G36)=7,"ﾓﾆﾀ",""))</f>
        <v/>
      </c>
      <c r="V36" s="12" t="str">
        <f t="shared" ref="V36:V58" si="60">IF(MONTH(G36)=2,"更新",IF(MONTH(G36)=8,"ﾓﾆﾀ",""))</f>
        <v/>
      </c>
      <c r="W36" s="12" t="str">
        <f t="shared" ref="W36:W58" si="61">IF(MONTH(G36)=3,"更新",IF(MONTH(G36)=9,"ﾓﾆﾀ",""))</f>
        <v>ﾓﾆﾀ</v>
      </c>
      <c r="X36" s="34"/>
    </row>
    <row r="37" spans="1:26" ht="18" x14ac:dyDescent="0.45">
      <c r="A37" s="158"/>
      <c r="B37" s="4"/>
      <c r="C37" s="9"/>
      <c r="D37" s="12"/>
      <c r="E37" s="12"/>
      <c r="F37" s="12"/>
      <c r="G37" s="15"/>
      <c r="H37" s="15"/>
      <c r="I37" s="15"/>
      <c r="J37" s="6"/>
      <c r="K37" s="20"/>
      <c r="L37" s="12" t="str">
        <f t="shared" si="50"/>
        <v/>
      </c>
      <c r="M37" s="12" t="str">
        <f t="shared" si="51"/>
        <v/>
      </c>
      <c r="N37" s="12" t="str">
        <f t="shared" si="52"/>
        <v/>
      </c>
      <c r="O37" s="12" t="str">
        <f t="shared" si="53"/>
        <v>ﾓﾆﾀ</v>
      </c>
      <c r="P37" s="12" t="str">
        <f t="shared" si="54"/>
        <v/>
      </c>
      <c r="Q37" s="12" t="str">
        <f t="shared" si="55"/>
        <v/>
      </c>
      <c r="R37" s="12" t="str">
        <f t="shared" si="56"/>
        <v/>
      </c>
      <c r="S37" s="12" t="str">
        <f t="shared" si="57"/>
        <v/>
      </c>
      <c r="T37" s="12" t="str">
        <f t="shared" si="58"/>
        <v/>
      </c>
      <c r="U37" s="12" t="str">
        <f t="shared" si="59"/>
        <v>更新</v>
      </c>
      <c r="V37" s="12" t="str">
        <f t="shared" si="60"/>
        <v/>
      </c>
      <c r="W37" s="12" t="str">
        <f t="shared" si="61"/>
        <v/>
      </c>
      <c r="X37" s="34"/>
    </row>
    <row r="38" spans="1:26" ht="18.600000000000001" thickBot="1" x14ac:dyDescent="0.5">
      <c r="A38" s="161"/>
      <c r="B38" s="8" t="s">
        <v>96</v>
      </c>
      <c r="C38" s="11">
        <v>8987</v>
      </c>
      <c r="D38" s="14" t="str">
        <f t="shared" ca="1" si="44"/>
        <v>101歳</v>
      </c>
      <c r="E38" s="14" t="s">
        <v>29</v>
      </c>
      <c r="F38" s="14"/>
      <c r="G38" s="16">
        <v>45230</v>
      </c>
      <c r="H38" s="16">
        <v>44806</v>
      </c>
      <c r="I38" s="16"/>
      <c r="J38" s="19" t="s">
        <v>97</v>
      </c>
      <c r="K38" s="21">
        <v>9073939594</v>
      </c>
      <c r="L38" s="14" t="str">
        <f>IF(MONTH(G38)=4,"更新",IF(MONTH(G38)=10,"ﾓﾆﾀ",""))</f>
        <v>ﾓﾆﾀ</v>
      </c>
      <c r="M38" s="14" t="str">
        <f>IF(MONTH(G38)=5,"更新",IF(MONTH(G38)=11,"ﾓﾆﾀ",""))</f>
        <v/>
      </c>
      <c r="N38" s="14" t="str">
        <f>IF(MONTH(G38)=6,"更新",IF(MONTH(G38)=12,"ﾓﾆﾀ",""))</f>
        <v/>
      </c>
      <c r="O38" s="14" t="str">
        <f>IF(MONTH(G38)=7,"更新",IF(MONTH(G38)=1,"ﾓﾆﾀ",""))</f>
        <v/>
      </c>
      <c r="P38" s="14" t="str">
        <f>IF(MONTH(G38)=8,"更新",IF(MONTH(G38)=2,"ﾓﾆﾀ",""))</f>
        <v/>
      </c>
      <c r="Q38" s="14" t="str">
        <f>IF(MONTH(G38)=9,"更新",IF(MONTH(G38)=3,"ﾓﾆﾀ",""))</f>
        <v/>
      </c>
      <c r="R38" s="14" t="str">
        <f>IF(MONTH(G38)=10,"更新",IF(MONTH(G38)=4,"ﾓﾆﾀ",""))</f>
        <v>更新</v>
      </c>
      <c r="S38" s="14" t="str">
        <f>IF(MONTH(G38)=11,"更新",IF(MONTH(G38)=5,"ﾓﾆﾀ",""))</f>
        <v/>
      </c>
      <c r="T38" s="14" t="str">
        <f>IF(MONTH(G38)=12,"更新",IF(MONTH(G38)=6,"ﾓﾆﾀ",""))</f>
        <v/>
      </c>
      <c r="U38" s="14" t="str">
        <f>IF(MONTH(G38)=1,"更新",IF(MONTH(G38)=7,"ﾓﾆﾀ",""))</f>
        <v/>
      </c>
      <c r="V38" s="14" t="str">
        <f>IF(MONTH(G38)=2,"更新",IF(MONTH(G38)=8,"ﾓﾆﾀ",""))</f>
        <v/>
      </c>
      <c r="W38" s="14" t="str">
        <f>IF(MONTH(G38)=3,"更新",IF(MONTH(G38)=9,"ﾓﾆﾀ",""))</f>
        <v/>
      </c>
      <c r="X38" s="34"/>
    </row>
    <row r="39" spans="1:26" ht="18.600000000000001" thickTop="1" x14ac:dyDescent="0.45">
      <c r="A39" s="162">
        <v>202</v>
      </c>
      <c r="B39" s="4" t="s">
        <v>98</v>
      </c>
      <c r="C39" s="9">
        <v>16256</v>
      </c>
      <c r="D39" s="12" t="str">
        <f t="shared" ca="1" si="44"/>
        <v>82歳</v>
      </c>
      <c r="E39" s="13" t="s">
        <v>11</v>
      </c>
      <c r="F39" s="13"/>
      <c r="G39" s="15">
        <v>45199</v>
      </c>
      <c r="H39" s="17">
        <v>41292</v>
      </c>
      <c r="I39" s="17"/>
      <c r="J39" s="6" t="s">
        <v>99</v>
      </c>
      <c r="K39" s="20">
        <v>9097828866</v>
      </c>
      <c r="L39" s="13" t="str">
        <f t="shared" si="50"/>
        <v/>
      </c>
      <c r="M39" s="13" t="str">
        <f t="shared" si="51"/>
        <v/>
      </c>
      <c r="N39" s="13" t="str">
        <f t="shared" si="52"/>
        <v/>
      </c>
      <c r="O39" s="13" t="str">
        <f t="shared" si="53"/>
        <v/>
      </c>
      <c r="P39" s="13" t="str">
        <f t="shared" si="54"/>
        <v/>
      </c>
      <c r="Q39" s="13" t="str">
        <f t="shared" si="55"/>
        <v>更新</v>
      </c>
      <c r="R39" s="13" t="str">
        <f t="shared" si="56"/>
        <v/>
      </c>
      <c r="S39" s="13" t="str">
        <f t="shared" si="57"/>
        <v/>
      </c>
      <c r="T39" s="13" t="str">
        <f t="shared" si="58"/>
        <v/>
      </c>
      <c r="U39" s="13" t="str">
        <f t="shared" si="59"/>
        <v/>
      </c>
      <c r="V39" s="13" t="str">
        <f t="shared" si="60"/>
        <v/>
      </c>
      <c r="W39" s="13" t="str">
        <f t="shared" si="61"/>
        <v>ﾓﾆﾀ</v>
      </c>
      <c r="X39" s="34"/>
      <c r="Y39">
        <f t="shared" ca="1" si="37"/>
        <v>89</v>
      </c>
      <c r="Z39" s="12" t="str">
        <f t="shared" si="24"/>
        <v>男</v>
      </c>
    </row>
    <row r="40" spans="1:26" ht="18.600000000000001" thickBot="1" x14ac:dyDescent="0.5">
      <c r="A40" s="158"/>
      <c r="B40" s="68" t="s">
        <v>100</v>
      </c>
      <c r="C40" s="11">
        <v>20762</v>
      </c>
      <c r="D40" s="13" t="str">
        <f t="shared" ca="1" si="44"/>
        <v>69歳</v>
      </c>
      <c r="E40" s="14" t="s">
        <v>11</v>
      </c>
      <c r="F40" s="14">
        <v>4</v>
      </c>
      <c r="G40" s="16">
        <v>47118</v>
      </c>
      <c r="H40" s="16">
        <v>46065</v>
      </c>
      <c r="I40" s="16" t="s">
        <v>101</v>
      </c>
      <c r="J40" s="19" t="s">
        <v>102</v>
      </c>
      <c r="K40" s="21">
        <v>9059442278</v>
      </c>
      <c r="L40" s="12" t="str">
        <f t="shared" si="50"/>
        <v/>
      </c>
      <c r="M40" s="12" t="str">
        <f t="shared" si="51"/>
        <v/>
      </c>
      <c r="N40" s="12" t="str">
        <f t="shared" si="52"/>
        <v>ﾓﾆﾀ</v>
      </c>
      <c r="O40" s="12" t="str">
        <f t="shared" si="53"/>
        <v/>
      </c>
      <c r="P40" s="12" t="str">
        <f t="shared" si="54"/>
        <v/>
      </c>
      <c r="Q40" s="12" t="str">
        <f t="shared" si="55"/>
        <v/>
      </c>
      <c r="R40" s="12" t="str">
        <f t="shared" si="56"/>
        <v/>
      </c>
      <c r="S40" s="12" t="str">
        <f t="shared" si="57"/>
        <v/>
      </c>
      <c r="T40" s="12" t="str">
        <f t="shared" si="58"/>
        <v>更新</v>
      </c>
      <c r="U40" s="12" t="str">
        <f t="shared" si="59"/>
        <v/>
      </c>
      <c r="V40" s="12" t="str">
        <f t="shared" si="60"/>
        <v/>
      </c>
      <c r="W40" s="12" t="str">
        <f t="shared" si="61"/>
        <v/>
      </c>
      <c r="X40" s="34"/>
      <c r="Y40">
        <f t="shared" ca="1" si="37"/>
        <v>97</v>
      </c>
      <c r="Z40" s="12" t="str">
        <f t="shared" si="24"/>
        <v>男</v>
      </c>
    </row>
    <row r="41" spans="1:26" ht="18.600000000000001" thickTop="1" x14ac:dyDescent="0.45">
      <c r="A41" s="158"/>
      <c r="B41" s="123" t="s">
        <v>103</v>
      </c>
      <c r="C41" s="95">
        <v>18393</v>
      </c>
      <c r="D41" s="96" t="str">
        <f t="shared" ca="1" si="44"/>
        <v>76歳</v>
      </c>
      <c r="E41" s="96" t="s">
        <v>11</v>
      </c>
      <c r="F41" s="96"/>
      <c r="G41" s="97">
        <v>45961</v>
      </c>
      <c r="H41" s="97">
        <v>45881</v>
      </c>
      <c r="I41" s="97"/>
      <c r="J41" s="98" t="s">
        <v>104</v>
      </c>
      <c r="K41" s="99">
        <v>9019446437</v>
      </c>
      <c r="L41" s="12" t="str">
        <f t="shared" si="50"/>
        <v>ﾓﾆﾀ</v>
      </c>
      <c r="M41" s="12" t="str">
        <f t="shared" si="51"/>
        <v/>
      </c>
      <c r="N41" s="12" t="str">
        <f t="shared" si="52"/>
        <v/>
      </c>
      <c r="O41" s="12" t="str">
        <f t="shared" si="53"/>
        <v/>
      </c>
      <c r="P41" s="12" t="str">
        <f t="shared" si="54"/>
        <v/>
      </c>
      <c r="Q41" s="12" t="str">
        <f t="shared" si="55"/>
        <v/>
      </c>
      <c r="R41" s="12" t="str">
        <f t="shared" si="56"/>
        <v>更新</v>
      </c>
      <c r="S41" s="12" t="str">
        <f t="shared" si="57"/>
        <v/>
      </c>
      <c r="T41" s="12" t="str">
        <f t="shared" si="58"/>
        <v/>
      </c>
      <c r="U41" s="12" t="str">
        <f t="shared" si="59"/>
        <v/>
      </c>
      <c r="V41" s="12" t="str">
        <f t="shared" si="60"/>
        <v/>
      </c>
      <c r="W41" s="12" t="str">
        <f t="shared" si="61"/>
        <v/>
      </c>
      <c r="X41" s="34"/>
      <c r="Y41">
        <f t="shared" ca="1" si="37"/>
        <v>86</v>
      </c>
      <c r="Z41" s="12" t="str">
        <f t="shared" si="24"/>
        <v>男</v>
      </c>
    </row>
    <row r="42" spans="1:26" ht="18.600000000000001" thickBot="1" x14ac:dyDescent="0.5">
      <c r="A42" s="161"/>
      <c r="B42" s="68" t="s">
        <v>105</v>
      </c>
      <c r="C42" s="11">
        <v>12960</v>
      </c>
      <c r="D42" s="14" t="str">
        <f t="shared" ca="1" si="44"/>
        <v>91歳</v>
      </c>
      <c r="E42" s="14" t="s">
        <v>11</v>
      </c>
      <c r="F42" s="14">
        <v>3</v>
      </c>
      <c r="G42" s="16">
        <v>46265</v>
      </c>
      <c r="H42" s="16">
        <v>46079</v>
      </c>
      <c r="I42" s="16" t="s">
        <v>41</v>
      </c>
      <c r="J42" s="19" t="s">
        <v>106</v>
      </c>
      <c r="K42" s="21">
        <v>9072981889</v>
      </c>
      <c r="L42" s="14" t="str">
        <f t="shared" si="50"/>
        <v/>
      </c>
      <c r="M42" s="14" t="str">
        <f t="shared" si="51"/>
        <v/>
      </c>
      <c r="N42" s="14" t="str">
        <f t="shared" si="52"/>
        <v/>
      </c>
      <c r="O42" s="14" t="str">
        <f t="shared" si="53"/>
        <v/>
      </c>
      <c r="P42" s="14" t="str">
        <f t="shared" si="54"/>
        <v>更新</v>
      </c>
      <c r="Q42" s="14" t="str">
        <f t="shared" si="55"/>
        <v/>
      </c>
      <c r="R42" s="14" t="str">
        <f t="shared" si="56"/>
        <v/>
      </c>
      <c r="S42" s="14" t="str">
        <f t="shared" si="57"/>
        <v/>
      </c>
      <c r="T42" s="14" t="str">
        <f t="shared" si="58"/>
        <v/>
      </c>
      <c r="U42" s="14" t="str">
        <f t="shared" si="59"/>
        <v/>
      </c>
      <c r="V42" s="14" t="str">
        <f t="shared" si="60"/>
        <v>ﾓﾆﾀ</v>
      </c>
      <c r="W42" s="14" t="str">
        <f t="shared" si="61"/>
        <v/>
      </c>
      <c r="X42" s="34"/>
      <c r="Y42">
        <f t="shared" ca="1" si="37"/>
        <v>76</v>
      </c>
      <c r="Z42" s="12" t="str">
        <f t="shared" si="24"/>
        <v>男</v>
      </c>
    </row>
    <row r="43" spans="1:26" ht="18.600000000000001" thickTop="1" x14ac:dyDescent="0.45">
      <c r="A43" s="162">
        <v>203</v>
      </c>
      <c r="B43" s="42" t="s">
        <v>107</v>
      </c>
      <c r="C43" s="10">
        <v>12129</v>
      </c>
      <c r="D43" s="13" t="str">
        <f t="shared" ca="1" si="44"/>
        <v>93歳</v>
      </c>
      <c r="E43" s="13" t="s">
        <v>108</v>
      </c>
      <c r="F43" s="13">
        <v>3</v>
      </c>
      <c r="G43" s="17">
        <v>46446</v>
      </c>
      <c r="H43" s="17">
        <v>45072</v>
      </c>
      <c r="I43" s="17" t="s">
        <v>47</v>
      </c>
      <c r="J43" s="18" t="s">
        <v>109</v>
      </c>
      <c r="K43" s="22">
        <v>9037974319</v>
      </c>
      <c r="L43" s="13" t="str">
        <f t="shared" si="50"/>
        <v/>
      </c>
      <c r="M43" s="13" t="str">
        <f t="shared" si="51"/>
        <v/>
      </c>
      <c r="N43" s="13" t="str">
        <f t="shared" si="52"/>
        <v/>
      </c>
      <c r="O43" s="13" t="str">
        <f t="shared" si="53"/>
        <v/>
      </c>
      <c r="P43" s="13" t="str">
        <f t="shared" si="54"/>
        <v>ﾓﾆﾀ</v>
      </c>
      <c r="Q43" s="13" t="str">
        <f t="shared" si="55"/>
        <v/>
      </c>
      <c r="R43" s="13" t="str">
        <f t="shared" si="56"/>
        <v/>
      </c>
      <c r="S43" s="13" t="str">
        <f t="shared" si="57"/>
        <v/>
      </c>
      <c r="T43" s="13" t="str">
        <f t="shared" si="58"/>
        <v/>
      </c>
      <c r="U43" s="13" t="str">
        <f t="shared" si="59"/>
        <v/>
      </c>
      <c r="V43" s="13" t="str">
        <f t="shared" si="60"/>
        <v>更新</v>
      </c>
      <c r="W43" s="13" t="str">
        <f t="shared" si="61"/>
        <v/>
      </c>
      <c r="X43" s="34"/>
      <c r="Y43">
        <f t="shared" ca="1" si="37"/>
        <v>76</v>
      </c>
      <c r="Z43" s="12" t="str">
        <f t="shared" si="24"/>
        <v>女</v>
      </c>
    </row>
    <row r="44" spans="1:26" ht="18" x14ac:dyDescent="0.45">
      <c r="A44" s="158"/>
      <c r="B44" s="4" t="s">
        <v>110</v>
      </c>
      <c r="C44" s="9">
        <v>13485</v>
      </c>
      <c r="D44" s="12" t="str">
        <f t="shared" ca="1" si="44"/>
        <v>89歳</v>
      </c>
      <c r="E44" s="12" t="s">
        <v>29</v>
      </c>
      <c r="F44" s="12"/>
      <c r="G44" s="15">
        <v>45322</v>
      </c>
      <c r="H44" s="15">
        <v>44952</v>
      </c>
      <c r="I44" s="15"/>
      <c r="J44" s="6" t="s">
        <v>111</v>
      </c>
      <c r="K44" s="20">
        <v>9019470709</v>
      </c>
      <c r="L44" s="12" t="str">
        <f t="shared" si="50"/>
        <v/>
      </c>
      <c r="M44" s="12" t="str">
        <f t="shared" si="51"/>
        <v/>
      </c>
      <c r="N44" s="12" t="str">
        <f t="shared" si="52"/>
        <v/>
      </c>
      <c r="O44" s="12" t="str">
        <f t="shared" si="53"/>
        <v>ﾓﾆﾀ</v>
      </c>
      <c r="P44" s="12" t="str">
        <f t="shared" si="54"/>
        <v/>
      </c>
      <c r="Q44" s="12" t="str">
        <f t="shared" si="55"/>
        <v/>
      </c>
      <c r="R44" s="12" t="str">
        <f t="shared" si="56"/>
        <v/>
      </c>
      <c r="S44" s="12" t="str">
        <f t="shared" si="57"/>
        <v/>
      </c>
      <c r="T44" s="12" t="str">
        <f t="shared" si="58"/>
        <v/>
      </c>
      <c r="U44" s="12" t="str">
        <f t="shared" si="59"/>
        <v>更新</v>
      </c>
      <c r="V44" s="12" t="str">
        <f t="shared" si="60"/>
        <v/>
      </c>
      <c r="W44" s="12" t="str">
        <f t="shared" si="61"/>
        <v/>
      </c>
      <c r="X44" s="34"/>
      <c r="Y44">
        <f t="shared" ca="1" si="37"/>
        <v>85</v>
      </c>
      <c r="Z44" s="12" t="str">
        <f t="shared" si="24"/>
        <v>女</v>
      </c>
    </row>
    <row r="45" spans="1:26" ht="18" x14ac:dyDescent="0.45">
      <c r="A45" s="158"/>
      <c r="B45" s="7" t="s">
        <v>112</v>
      </c>
      <c r="C45" s="10">
        <v>10756</v>
      </c>
      <c r="D45" s="13" t="str">
        <f t="shared" ca="1" si="44"/>
        <v>97歳</v>
      </c>
      <c r="E45" s="13" t="s">
        <v>108</v>
      </c>
      <c r="F45" s="13"/>
      <c r="G45" s="17">
        <v>45716</v>
      </c>
      <c r="H45" s="17">
        <v>45274</v>
      </c>
      <c r="I45" s="17"/>
      <c r="J45" s="18" t="s">
        <v>113</v>
      </c>
      <c r="K45" s="22">
        <v>9037956608</v>
      </c>
      <c r="L45" s="12" t="str">
        <f t="shared" si="50"/>
        <v/>
      </c>
      <c r="M45" s="12" t="str">
        <f t="shared" si="51"/>
        <v/>
      </c>
      <c r="N45" s="12" t="str">
        <f t="shared" si="52"/>
        <v/>
      </c>
      <c r="O45" s="12" t="str">
        <f t="shared" si="53"/>
        <v/>
      </c>
      <c r="P45" s="12" t="str">
        <f t="shared" si="54"/>
        <v>ﾓﾆﾀ</v>
      </c>
      <c r="Q45" s="12" t="str">
        <f t="shared" si="55"/>
        <v/>
      </c>
      <c r="R45" s="12" t="str">
        <f t="shared" si="56"/>
        <v/>
      </c>
      <c r="S45" s="12" t="str">
        <f t="shared" si="57"/>
        <v/>
      </c>
      <c r="T45" s="12" t="str">
        <f t="shared" si="58"/>
        <v/>
      </c>
      <c r="U45" s="12" t="str">
        <f t="shared" si="59"/>
        <v/>
      </c>
      <c r="V45" s="12" t="str">
        <f t="shared" si="60"/>
        <v>更新</v>
      </c>
      <c r="W45" s="12" t="str">
        <f t="shared" si="61"/>
        <v/>
      </c>
      <c r="X45" s="34"/>
      <c r="Y45">
        <f t="shared" ca="1" si="37"/>
        <v>91</v>
      </c>
      <c r="Z45" s="12" t="str">
        <f t="shared" si="24"/>
        <v>女</v>
      </c>
    </row>
    <row r="46" spans="1:26" ht="18.600000000000001" thickBot="1" x14ac:dyDescent="0.5">
      <c r="A46" s="161"/>
      <c r="B46" s="68" t="s">
        <v>114</v>
      </c>
      <c r="C46" s="11">
        <v>14711</v>
      </c>
      <c r="D46" s="14" t="str">
        <f t="shared" ca="1" si="44"/>
        <v>86歳</v>
      </c>
      <c r="E46" s="14" t="s">
        <v>29</v>
      </c>
      <c r="F46" s="14">
        <v>4</v>
      </c>
      <c r="G46" s="16">
        <v>47422</v>
      </c>
      <c r="H46" s="16">
        <v>45995</v>
      </c>
      <c r="I46" s="16" t="s">
        <v>115</v>
      </c>
      <c r="J46" s="19" t="s">
        <v>116</v>
      </c>
      <c r="K46" s="21">
        <v>8019477647</v>
      </c>
      <c r="L46" s="14" t="str">
        <f t="shared" si="50"/>
        <v>ﾓﾆﾀ</v>
      </c>
      <c r="M46" s="14" t="str">
        <f t="shared" si="51"/>
        <v/>
      </c>
      <c r="N46" s="14" t="str">
        <f t="shared" si="52"/>
        <v/>
      </c>
      <c r="O46" s="14" t="str">
        <f t="shared" si="53"/>
        <v/>
      </c>
      <c r="P46" s="14" t="str">
        <f t="shared" si="54"/>
        <v/>
      </c>
      <c r="Q46" s="14" t="str">
        <f t="shared" si="55"/>
        <v/>
      </c>
      <c r="R46" s="14" t="str">
        <f t="shared" si="56"/>
        <v>更新</v>
      </c>
      <c r="S46" s="14" t="str">
        <f t="shared" si="57"/>
        <v/>
      </c>
      <c r="T46" s="14" t="str">
        <f t="shared" si="58"/>
        <v/>
      </c>
      <c r="U46" s="14" t="str">
        <f t="shared" si="59"/>
        <v/>
      </c>
      <c r="V46" s="14" t="str">
        <f t="shared" si="60"/>
        <v/>
      </c>
      <c r="W46" s="14" t="str">
        <f t="shared" si="61"/>
        <v/>
      </c>
      <c r="X46" s="34"/>
      <c r="Y46">
        <f t="shared" ca="1" si="37"/>
        <v>74</v>
      </c>
      <c r="Z46" s="12" t="str">
        <f t="shared" si="24"/>
        <v>女</v>
      </c>
    </row>
    <row r="47" spans="1:26" ht="18.600000000000001" thickTop="1" x14ac:dyDescent="0.45">
      <c r="A47" s="158">
        <v>205</v>
      </c>
      <c r="B47" s="109" t="s">
        <v>117</v>
      </c>
      <c r="C47" s="95">
        <v>18219</v>
      </c>
      <c r="D47" s="96" t="str">
        <f t="shared" ca="1" si="44"/>
        <v>76歳</v>
      </c>
      <c r="E47" s="96" t="s">
        <v>11</v>
      </c>
      <c r="F47" s="96"/>
      <c r="G47" s="97">
        <v>46022</v>
      </c>
      <c r="H47" s="97">
        <v>44369</v>
      </c>
      <c r="I47" s="97"/>
      <c r="J47" s="98" t="s">
        <v>118</v>
      </c>
      <c r="K47" s="99" t="s">
        <v>119</v>
      </c>
      <c r="L47" s="13" t="str">
        <f t="shared" si="50"/>
        <v/>
      </c>
      <c r="M47" s="13" t="str">
        <f t="shared" si="51"/>
        <v/>
      </c>
      <c r="N47" s="13" t="str">
        <f t="shared" si="52"/>
        <v>ﾓﾆﾀ</v>
      </c>
      <c r="O47" s="13" t="str">
        <f t="shared" si="53"/>
        <v/>
      </c>
      <c r="P47" s="13" t="str">
        <f t="shared" si="54"/>
        <v/>
      </c>
      <c r="Q47" s="13" t="str">
        <f t="shared" si="55"/>
        <v/>
      </c>
      <c r="R47" s="13" t="str">
        <f t="shared" si="56"/>
        <v/>
      </c>
      <c r="S47" s="13" t="str">
        <f t="shared" si="57"/>
        <v/>
      </c>
      <c r="T47" s="13" t="str">
        <f t="shared" si="58"/>
        <v>更新</v>
      </c>
      <c r="U47" s="13" t="str">
        <f t="shared" si="59"/>
        <v/>
      </c>
      <c r="V47" s="13" t="str">
        <f t="shared" si="60"/>
        <v/>
      </c>
      <c r="W47" s="13" t="str">
        <f t="shared" si="61"/>
        <v/>
      </c>
      <c r="X47" s="34"/>
      <c r="Y47">
        <f t="shared" ca="1" si="37"/>
        <v>75</v>
      </c>
      <c r="Z47" s="12" t="str">
        <f t="shared" si="24"/>
        <v>男</v>
      </c>
    </row>
    <row r="48" spans="1:26" ht="18" x14ac:dyDescent="0.45">
      <c r="A48" s="158"/>
      <c r="B48" s="7" t="s">
        <v>120</v>
      </c>
      <c r="C48" s="10">
        <v>18288</v>
      </c>
      <c r="D48" s="13" t="str">
        <f t="shared" ca="1" si="44"/>
        <v>76歳</v>
      </c>
      <c r="E48" s="13" t="s">
        <v>11</v>
      </c>
      <c r="F48" s="13"/>
      <c r="G48" s="17">
        <v>47147</v>
      </c>
      <c r="H48" s="17">
        <v>44966</v>
      </c>
      <c r="I48" s="17"/>
      <c r="J48" s="18" t="s">
        <v>121</v>
      </c>
      <c r="K48" s="22" t="s">
        <v>122</v>
      </c>
      <c r="L48" s="12" t="str">
        <f t="shared" si="50"/>
        <v/>
      </c>
      <c r="M48" s="12" t="str">
        <f t="shared" si="51"/>
        <v/>
      </c>
      <c r="N48" s="12" t="str">
        <f t="shared" si="52"/>
        <v/>
      </c>
      <c r="O48" s="12" t="str">
        <f t="shared" si="53"/>
        <v>ﾓﾆﾀ</v>
      </c>
      <c r="P48" s="12" t="str">
        <f t="shared" si="54"/>
        <v/>
      </c>
      <c r="Q48" s="12" t="str">
        <f t="shared" si="55"/>
        <v/>
      </c>
      <c r="R48" s="12" t="str">
        <f t="shared" si="56"/>
        <v/>
      </c>
      <c r="S48" s="12" t="str">
        <f t="shared" si="57"/>
        <v/>
      </c>
      <c r="T48" s="12" t="str">
        <f t="shared" si="58"/>
        <v/>
      </c>
      <c r="U48" s="12" t="str">
        <f t="shared" si="59"/>
        <v>更新</v>
      </c>
      <c r="V48" s="12" t="str">
        <f t="shared" si="60"/>
        <v/>
      </c>
      <c r="W48" s="12" t="str">
        <f t="shared" si="61"/>
        <v/>
      </c>
      <c r="X48" s="34"/>
      <c r="Y48">
        <f t="shared" ca="1" si="37"/>
        <v>70</v>
      </c>
      <c r="Z48" s="12" t="str">
        <f t="shared" si="24"/>
        <v>男</v>
      </c>
    </row>
    <row r="49" spans="1:29" ht="18" x14ac:dyDescent="0.45">
      <c r="A49" s="158"/>
      <c r="B49" s="4" t="s">
        <v>123</v>
      </c>
      <c r="C49" s="9">
        <v>14799</v>
      </c>
      <c r="D49" s="12" t="str">
        <f t="shared" ca="1" si="44"/>
        <v>85歳</v>
      </c>
      <c r="E49" s="12" t="s">
        <v>11</v>
      </c>
      <c r="F49" s="12"/>
      <c r="G49" s="15">
        <v>45382</v>
      </c>
      <c r="H49" s="15">
        <v>44292</v>
      </c>
      <c r="I49" s="15"/>
      <c r="J49" s="6" t="s">
        <v>124</v>
      </c>
      <c r="K49" s="20">
        <v>9025071618</v>
      </c>
      <c r="L49" s="12" t="str">
        <f t="shared" si="50"/>
        <v/>
      </c>
      <c r="M49" s="12" t="str">
        <f t="shared" si="51"/>
        <v/>
      </c>
      <c r="N49" s="12" t="str">
        <f t="shared" si="52"/>
        <v/>
      </c>
      <c r="O49" s="12" t="str">
        <f t="shared" si="53"/>
        <v/>
      </c>
      <c r="P49" s="12" t="str">
        <f t="shared" si="54"/>
        <v/>
      </c>
      <c r="Q49" s="12" t="str">
        <f t="shared" si="55"/>
        <v>ﾓﾆﾀ</v>
      </c>
      <c r="R49" s="12" t="str">
        <f t="shared" si="56"/>
        <v/>
      </c>
      <c r="S49" s="12" t="str">
        <f t="shared" si="57"/>
        <v/>
      </c>
      <c r="T49" s="12" t="str">
        <f t="shared" si="58"/>
        <v/>
      </c>
      <c r="U49" s="12" t="str">
        <f t="shared" si="59"/>
        <v/>
      </c>
      <c r="V49" s="12" t="str">
        <f t="shared" si="60"/>
        <v/>
      </c>
      <c r="W49" s="12" t="str">
        <f t="shared" si="61"/>
        <v>更新</v>
      </c>
      <c r="X49" s="34"/>
      <c r="Y49">
        <f t="shared" ca="1" si="37"/>
        <v>93</v>
      </c>
      <c r="Z49" s="12" t="str">
        <f t="shared" si="24"/>
        <v>男</v>
      </c>
    </row>
    <row r="50" spans="1:29" ht="18.600000000000001" thickBot="1" x14ac:dyDescent="0.5">
      <c r="A50" s="161"/>
      <c r="B50" s="107" t="s">
        <v>125</v>
      </c>
      <c r="C50" s="11">
        <v>12617</v>
      </c>
      <c r="D50" s="14" t="str">
        <f t="shared" ca="1" si="44"/>
        <v>91歳</v>
      </c>
      <c r="E50" s="14" t="s">
        <v>11</v>
      </c>
      <c r="F50" s="14">
        <v>5</v>
      </c>
      <c r="G50" s="16">
        <v>47603</v>
      </c>
      <c r="H50" s="16"/>
      <c r="I50" s="15" t="s">
        <v>41</v>
      </c>
      <c r="J50" s="6" t="s">
        <v>72</v>
      </c>
      <c r="K50" s="20">
        <v>9097872663</v>
      </c>
      <c r="L50" s="14" t="str">
        <f t="shared" si="50"/>
        <v>更新</v>
      </c>
      <c r="M50" s="14" t="str">
        <f t="shared" si="51"/>
        <v/>
      </c>
      <c r="N50" s="14" t="str">
        <f t="shared" si="52"/>
        <v/>
      </c>
      <c r="O50" s="14" t="str">
        <f t="shared" si="53"/>
        <v/>
      </c>
      <c r="P50" s="14" t="str">
        <f t="shared" si="54"/>
        <v/>
      </c>
      <c r="Q50" s="14" t="str">
        <f t="shared" si="55"/>
        <v/>
      </c>
      <c r="R50" s="14" t="str">
        <f t="shared" si="56"/>
        <v>ﾓﾆﾀ</v>
      </c>
      <c r="S50" s="14" t="str">
        <f t="shared" si="57"/>
        <v/>
      </c>
      <c r="T50" s="14" t="str">
        <f t="shared" si="58"/>
        <v/>
      </c>
      <c r="U50" s="14" t="str">
        <f t="shared" si="59"/>
        <v/>
      </c>
      <c r="V50" s="14" t="str">
        <f t="shared" si="60"/>
        <v/>
      </c>
      <c r="W50" s="14" t="str">
        <f t="shared" si="61"/>
        <v/>
      </c>
      <c r="X50" s="34"/>
      <c r="Y50">
        <f t="shared" ca="1" si="37"/>
        <v>95</v>
      </c>
      <c r="Z50" s="12" t="str">
        <f t="shared" si="24"/>
        <v>男</v>
      </c>
    </row>
    <row r="51" spans="1:29" ht="18.600000000000001" thickTop="1" x14ac:dyDescent="0.45">
      <c r="A51" s="162">
        <v>206</v>
      </c>
      <c r="B51" s="42" t="s">
        <v>126</v>
      </c>
      <c r="C51" s="10">
        <v>19156</v>
      </c>
      <c r="D51" s="13" t="str">
        <f t="shared" ref="D51" ca="1" si="62">IF(C51="","",DATEDIF(C51,TODAY(),"y")&amp;"歳")</f>
        <v>74歳</v>
      </c>
      <c r="E51" s="13" t="s">
        <v>11</v>
      </c>
      <c r="F51" s="13">
        <v>5</v>
      </c>
      <c r="G51" s="17">
        <v>46507</v>
      </c>
      <c r="H51" s="17">
        <v>46023</v>
      </c>
      <c r="I51" s="17" t="s">
        <v>41</v>
      </c>
      <c r="J51" s="18" t="s">
        <v>127</v>
      </c>
      <c r="K51" s="22">
        <v>9019473243</v>
      </c>
      <c r="L51" s="13" t="str">
        <f t="shared" si="50"/>
        <v>更新</v>
      </c>
      <c r="M51" s="13" t="str">
        <f t="shared" si="51"/>
        <v/>
      </c>
      <c r="N51" s="13" t="str">
        <f t="shared" si="52"/>
        <v/>
      </c>
      <c r="O51" s="13" t="str">
        <f t="shared" si="53"/>
        <v/>
      </c>
      <c r="P51" s="13" t="str">
        <f t="shared" si="54"/>
        <v/>
      </c>
      <c r="Q51" s="13" t="str">
        <f t="shared" si="55"/>
        <v/>
      </c>
      <c r="R51" s="13" t="str">
        <f t="shared" si="56"/>
        <v>ﾓﾆﾀ</v>
      </c>
      <c r="S51" s="13" t="str">
        <f t="shared" si="57"/>
        <v/>
      </c>
      <c r="T51" s="13" t="str">
        <f t="shared" si="58"/>
        <v/>
      </c>
      <c r="U51" s="13" t="str">
        <f t="shared" si="59"/>
        <v/>
      </c>
      <c r="V51" s="13" t="str">
        <f t="shared" si="60"/>
        <v/>
      </c>
      <c r="W51" s="13" t="str">
        <f t="shared" si="61"/>
        <v/>
      </c>
      <c r="X51" s="34"/>
      <c r="Y51">
        <f t="shared" ca="1" si="37"/>
        <v>71</v>
      </c>
      <c r="Z51" s="12" t="str">
        <f t="shared" si="24"/>
        <v>男</v>
      </c>
    </row>
    <row r="52" spans="1:29" ht="18" x14ac:dyDescent="0.45">
      <c r="A52" s="158"/>
      <c r="B52" s="42" t="s">
        <v>128</v>
      </c>
      <c r="C52" s="119">
        <v>18632</v>
      </c>
      <c r="D52" s="12" t="str">
        <f t="shared" ref="D52" ca="1" si="63">IF(C52="","",DATEDIF(C52,TODAY(),"y")&amp;"歳")</f>
        <v>75歳</v>
      </c>
      <c r="E52" s="12" t="s">
        <v>11</v>
      </c>
      <c r="F52" s="12">
        <v>4</v>
      </c>
      <c r="G52" s="15">
        <v>46234</v>
      </c>
      <c r="H52" s="15">
        <v>45992</v>
      </c>
      <c r="I52" s="15" t="s">
        <v>34</v>
      </c>
      <c r="J52" s="6" t="s">
        <v>129</v>
      </c>
      <c r="K52" s="20">
        <v>9097852612</v>
      </c>
      <c r="L52" s="12" t="str">
        <f t="shared" si="50"/>
        <v/>
      </c>
      <c r="M52" s="12" t="str">
        <f t="shared" si="51"/>
        <v/>
      </c>
      <c r="N52" s="12" t="str">
        <f t="shared" si="52"/>
        <v/>
      </c>
      <c r="O52" s="12" t="str">
        <f t="shared" si="53"/>
        <v>更新</v>
      </c>
      <c r="P52" s="12" t="str">
        <f t="shared" si="54"/>
        <v/>
      </c>
      <c r="Q52" s="12" t="str">
        <f t="shared" si="55"/>
        <v/>
      </c>
      <c r="R52" s="12" t="str">
        <f t="shared" si="56"/>
        <v/>
      </c>
      <c r="S52" s="12" t="str">
        <f t="shared" si="57"/>
        <v/>
      </c>
      <c r="T52" s="12" t="str">
        <f t="shared" si="58"/>
        <v/>
      </c>
      <c r="U52" s="12" t="str">
        <f t="shared" si="59"/>
        <v>ﾓﾆﾀ</v>
      </c>
      <c r="V52" s="12" t="str">
        <f t="shared" si="60"/>
        <v/>
      </c>
      <c r="W52" s="12" t="str">
        <f t="shared" si="61"/>
        <v/>
      </c>
      <c r="X52" s="34"/>
      <c r="Y52">
        <f t="shared" ca="1" si="37"/>
        <v>90</v>
      </c>
      <c r="Z52" s="12" t="str">
        <f t="shared" si="24"/>
        <v>男</v>
      </c>
    </row>
    <row r="53" spans="1:29" ht="18" x14ac:dyDescent="0.45">
      <c r="A53" s="158"/>
      <c r="B53" s="43" t="s">
        <v>130</v>
      </c>
      <c r="C53" s="9">
        <v>20520</v>
      </c>
      <c r="D53" s="13" t="str">
        <f t="shared" ref="D53:D55" ca="1" si="64">IF(C53="","",DATEDIF(C53,TODAY(),"y")&amp;"歳")</f>
        <v>70歳</v>
      </c>
      <c r="E53" s="13" t="s">
        <v>11</v>
      </c>
      <c r="F53" s="13">
        <v>4</v>
      </c>
      <c r="G53" s="17">
        <v>47330</v>
      </c>
      <c r="H53" s="17">
        <v>45748</v>
      </c>
      <c r="I53" s="17" t="s">
        <v>41</v>
      </c>
      <c r="J53" s="18" t="s">
        <v>131</v>
      </c>
      <c r="K53" s="22">
        <v>9097833411</v>
      </c>
      <c r="L53" s="12" t="str">
        <f t="shared" si="50"/>
        <v/>
      </c>
      <c r="M53" s="12" t="str">
        <f t="shared" si="51"/>
        <v/>
      </c>
      <c r="N53" s="12" t="str">
        <f t="shared" si="52"/>
        <v/>
      </c>
      <c r="O53" s="12" t="str">
        <f t="shared" si="53"/>
        <v>更新</v>
      </c>
      <c r="P53" s="12" t="str">
        <f t="shared" si="54"/>
        <v/>
      </c>
      <c r="Q53" s="12" t="str">
        <f t="shared" si="55"/>
        <v/>
      </c>
      <c r="R53" s="12" t="str">
        <f t="shared" si="56"/>
        <v/>
      </c>
      <c r="S53" s="12" t="str">
        <f t="shared" si="57"/>
        <v/>
      </c>
      <c r="T53" s="12" t="str">
        <f t="shared" si="58"/>
        <v/>
      </c>
      <c r="U53" s="12" t="str">
        <f t="shared" si="59"/>
        <v>ﾓﾆﾀ</v>
      </c>
      <c r="V53" s="12" t="str">
        <f t="shared" si="60"/>
        <v/>
      </c>
      <c r="W53" s="12" t="str">
        <f t="shared" si="61"/>
        <v/>
      </c>
      <c r="X53" s="34"/>
      <c r="Y53">
        <f t="shared" ca="1" si="37"/>
        <v>90</v>
      </c>
      <c r="Z53" s="12" t="str">
        <f t="shared" si="24"/>
        <v>男</v>
      </c>
      <c r="AC53" t="s">
        <v>132</v>
      </c>
    </row>
    <row r="54" spans="1:29" ht="18.600000000000001" thickBot="1" x14ac:dyDescent="0.5">
      <c r="A54" s="161"/>
      <c r="B54" s="68" t="s">
        <v>133</v>
      </c>
      <c r="C54" s="11">
        <v>12060</v>
      </c>
      <c r="D54" s="13" t="str">
        <f t="shared" ca="1" si="64"/>
        <v>93歳</v>
      </c>
      <c r="E54" s="14" t="s">
        <v>11</v>
      </c>
      <c r="F54" s="14">
        <v>3</v>
      </c>
      <c r="G54" s="16">
        <v>46081</v>
      </c>
      <c r="H54" s="16">
        <v>46006</v>
      </c>
      <c r="I54" s="16" t="s">
        <v>14</v>
      </c>
      <c r="J54" s="19" t="s">
        <v>134</v>
      </c>
      <c r="K54" s="21">
        <v>9097895434</v>
      </c>
      <c r="L54" s="14" t="str">
        <f t="shared" si="50"/>
        <v/>
      </c>
      <c r="M54" s="14" t="str">
        <f t="shared" si="51"/>
        <v/>
      </c>
      <c r="N54" s="14" t="str">
        <f t="shared" si="52"/>
        <v/>
      </c>
      <c r="O54" s="14" t="str">
        <f t="shared" si="53"/>
        <v/>
      </c>
      <c r="P54" s="14" t="str">
        <f t="shared" si="54"/>
        <v>ﾓﾆﾀ</v>
      </c>
      <c r="Q54" s="14" t="str">
        <f t="shared" si="55"/>
        <v/>
      </c>
      <c r="R54" s="14" t="str">
        <f t="shared" si="56"/>
        <v/>
      </c>
      <c r="S54" s="14" t="str">
        <f t="shared" si="57"/>
        <v/>
      </c>
      <c r="T54" s="14" t="str">
        <f t="shared" si="58"/>
        <v/>
      </c>
      <c r="U54" s="14" t="str">
        <f t="shared" si="59"/>
        <v/>
      </c>
      <c r="V54" s="14" t="str">
        <f t="shared" si="60"/>
        <v>更新</v>
      </c>
      <c r="W54" s="14" t="str">
        <f t="shared" si="61"/>
        <v/>
      </c>
      <c r="X54" s="34"/>
      <c r="Y54">
        <f t="shared" ca="1" si="37"/>
        <v>69</v>
      </c>
      <c r="Z54" s="12" t="str">
        <f t="shared" si="24"/>
        <v>男</v>
      </c>
    </row>
    <row r="55" spans="1:29" ht="18.600000000000001" thickTop="1" x14ac:dyDescent="0.45">
      <c r="A55" s="158">
        <v>207</v>
      </c>
      <c r="B55" s="43" t="s">
        <v>135</v>
      </c>
      <c r="C55" s="9">
        <v>11300</v>
      </c>
      <c r="D55" s="12" t="str">
        <f t="shared" ca="1" si="64"/>
        <v>95歳</v>
      </c>
      <c r="E55" s="12" t="s">
        <v>29</v>
      </c>
      <c r="F55" s="12">
        <v>4</v>
      </c>
      <c r="G55" s="15">
        <v>46356</v>
      </c>
      <c r="H55" s="15">
        <v>45861</v>
      </c>
      <c r="I55" s="15" t="s">
        <v>14</v>
      </c>
      <c r="J55" s="6" t="s">
        <v>136</v>
      </c>
      <c r="K55" s="20">
        <v>9019458883</v>
      </c>
      <c r="L55" s="13" t="str">
        <f t="shared" si="50"/>
        <v/>
      </c>
      <c r="M55" s="13" t="str">
        <f t="shared" si="51"/>
        <v>ﾓﾆﾀ</v>
      </c>
      <c r="N55" s="13" t="str">
        <f t="shared" si="52"/>
        <v/>
      </c>
      <c r="O55" s="13" t="str">
        <f t="shared" si="53"/>
        <v/>
      </c>
      <c r="P55" s="13" t="str">
        <f t="shared" si="54"/>
        <v/>
      </c>
      <c r="Q55" s="13" t="str">
        <f t="shared" si="55"/>
        <v/>
      </c>
      <c r="R55" s="13" t="str">
        <f t="shared" si="56"/>
        <v/>
      </c>
      <c r="S55" s="13" t="str">
        <f t="shared" si="57"/>
        <v>更新</v>
      </c>
      <c r="T55" s="13" t="str">
        <f t="shared" si="58"/>
        <v/>
      </c>
      <c r="U55" s="13" t="str">
        <f t="shared" si="59"/>
        <v/>
      </c>
      <c r="V55" s="13" t="str">
        <f t="shared" si="60"/>
        <v/>
      </c>
      <c r="W55" s="13" t="str">
        <f t="shared" si="61"/>
        <v/>
      </c>
      <c r="X55" s="34"/>
      <c r="Y55">
        <f t="shared" ca="1" si="37"/>
        <v>92</v>
      </c>
      <c r="Z55" s="12" t="str">
        <f t="shared" si="24"/>
        <v>女</v>
      </c>
    </row>
    <row r="56" spans="1:29" ht="18" x14ac:dyDescent="0.45">
      <c r="A56" s="158"/>
      <c r="B56" s="4" t="s">
        <v>137</v>
      </c>
      <c r="C56" s="9">
        <v>20210</v>
      </c>
      <c r="D56" s="12" t="str">
        <f t="shared" ref="D56:D76" ca="1" si="65">IF(C56="","",DATEDIF(C56,TODAY(),"y")&amp;"歳")</f>
        <v>71歳</v>
      </c>
      <c r="E56" s="12" t="s">
        <v>29</v>
      </c>
      <c r="F56" s="12"/>
      <c r="G56" s="15">
        <v>45046</v>
      </c>
      <c r="H56" s="15">
        <v>43076</v>
      </c>
      <c r="I56" s="15"/>
      <c r="J56" s="6" t="s">
        <v>138</v>
      </c>
      <c r="K56" s="20">
        <v>9037976931</v>
      </c>
      <c r="L56" s="12" t="str">
        <f t="shared" si="50"/>
        <v>更新</v>
      </c>
      <c r="M56" s="12" t="str">
        <f t="shared" si="51"/>
        <v/>
      </c>
      <c r="N56" s="12" t="str">
        <f t="shared" si="52"/>
        <v/>
      </c>
      <c r="O56" s="12" t="str">
        <f t="shared" si="53"/>
        <v/>
      </c>
      <c r="P56" s="12" t="str">
        <f t="shared" si="54"/>
        <v/>
      </c>
      <c r="Q56" s="12" t="str">
        <f t="shared" si="55"/>
        <v/>
      </c>
      <c r="R56" s="12" t="str">
        <f t="shared" si="56"/>
        <v>ﾓﾆﾀ</v>
      </c>
      <c r="S56" s="12" t="str">
        <f t="shared" si="57"/>
        <v/>
      </c>
      <c r="T56" s="12" t="str">
        <f t="shared" si="58"/>
        <v/>
      </c>
      <c r="U56" s="12" t="str">
        <f t="shared" si="59"/>
        <v/>
      </c>
      <c r="V56" s="12" t="str">
        <f t="shared" si="60"/>
        <v/>
      </c>
      <c r="W56" s="12" t="str">
        <f t="shared" si="61"/>
        <v/>
      </c>
      <c r="X56" s="34"/>
      <c r="Y56">
        <f t="shared" ca="1" si="37"/>
        <v>100</v>
      </c>
      <c r="Z56" s="12" t="str">
        <f t="shared" si="24"/>
        <v>女</v>
      </c>
    </row>
    <row r="57" spans="1:29" ht="18" x14ac:dyDescent="0.45">
      <c r="A57" s="162"/>
      <c r="B57" s="42" t="s">
        <v>139</v>
      </c>
      <c r="C57" s="10">
        <v>13124</v>
      </c>
      <c r="D57" s="13" t="str">
        <f t="shared" ref="D57:D60" ca="1" si="66">IF(C57="","",DATEDIF(C57,TODAY(),"y")&amp;"歳")</f>
        <v>90歳</v>
      </c>
      <c r="E57" s="13" t="s">
        <v>29</v>
      </c>
      <c r="F57" s="13">
        <v>3</v>
      </c>
      <c r="G57" s="17">
        <v>46387</v>
      </c>
      <c r="H57" s="17">
        <v>45931</v>
      </c>
      <c r="I57" s="17" t="s">
        <v>41</v>
      </c>
      <c r="J57" s="6" t="s">
        <v>140</v>
      </c>
      <c r="K57" s="20">
        <v>9037965406</v>
      </c>
      <c r="L57" s="12" t="str">
        <f t="shared" si="50"/>
        <v/>
      </c>
      <c r="M57" s="12" t="str">
        <f t="shared" si="51"/>
        <v/>
      </c>
      <c r="N57" s="12" t="str">
        <f t="shared" si="52"/>
        <v>ﾓﾆﾀ</v>
      </c>
      <c r="O57" s="12" t="str">
        <f t="shared" si="53"/>
        <v/>
      </c>
      <c r="P57" s="12" t="str">
        <f t="shared" si="54"/>
        <v/>
      </c>
      <c r="Q57" s="12" t="str">
        <f t="shared" si="55"/>
        <v/>
      </c>
      <c r="R57" s="12" t="str">
        <f t="shared" si="56"/>
        <v/>
      </c>
      <c r="S57" s="12" t="str">
        <f t="shared" si="57"/>
        <v/>
      </c>
      <c r="T57" s="12" t="str">
        <f t="shared" si="58"/>
        <v>更新</v>
      </c>
      <c r="U57" s="12" t="str">
        <f t="shared" si="59"/>
        <v/>
      </c>
      <c r="V57" s="12" t="str">
        <f t="shared" si="60"/>
        <v/>
      </c>
      <c r="W57" s="12" t="str">
        <f t="shared" si="61"/>
        <v/>
      </c>
      <c r="X57" s="34"/>
      <c r="Y57">
        <f t="shared" ca="1" si="37"/>
        <v>94</v>
      </c>
      <c r="Z57" s="12" t="str">
        <f t="shared" si="24"/>
        <v>女</v>
      </c>
    </row>
    <row r="58" spans="1:29" ht="18.600000000000001" thickBot="1" x14ac:dyDescent="0.5">
      <c r="A58" s="161"/>
      <c r="B58" s="42" t="s">
        <v>141</v>
      </c>
      <c r="C58" s="24">
        <v>13128</v>
      </c>
      <c r="D58" s="12" t="str">
        <f t="shared" ca="1" si="66"/>
        <v>90歳</v>
      </c>
      <c r="E58" s="13" t="s">
        <v>29</v>
      </c>
      <c r="F58" s="13">
        <v>4</v>
      </c>
      <c r="G58" s="25">
        <v>46783</v>
      </c>
      <c r="H58" s="25">
        <v>45585</v>
      </c>
      <c r="I58" s="25" t="s">
        <v>14</v>
      </c>
      <c r="J58" s="26" t="s">
        <v>142</v>
      </c>
      <c r="K58" s="27">
        <v>9044291565</v>
      </c>
      <c r="L58" s="14" t="str">
        <f t="shared" si="50"/>
        <v/>
      </c>
      <c r="M58" s="14" t="str">
        <f t="shared" si="51"/>
        <v/>
      </c>
      <c r="N58" s="14" t="str">
        <f t="shared" si="52"/>
        <v/>
      </c>
      <c r="O58" s="14" t="str">
        <f t="shared" si="53"/>
        <v>ﾓﾆﾀ</v>
      </c>
      <c r="P58" s="14" t="str">
        <f t="shared" si="54"/>
        <v/>
      </c>
      <c r="Q58" s="14" t="str">
        <f t="shared" si="55"/>
        <v/>
      </c>
      <c r="R58" s="14" t="str">
        <f t="shared" si="56"/>
        <v/>
      </c>
      <c r="S58" s="14" t="str">
        <f t="shared" si="57"/>
        <v/>
      </c>
      <c r="T58" s="14" t="str">
        <f t="shared" si="58"/>
        <v/>
      </c>
      <c r="U58" s="14" t="str">
        <f t="shared" si="59"/>
        <v>更新</v>
      </c>
      <c r="V58" s="14" t="str">
        <f t="shared" si="60"/>
        <v/>
      </c>
      <c r="W58" s="14" t="str">
        <f t="shared" si="61"/>
        <v/>
      </c>
      <c r="X58" s="34"/>
      <c r="Y58">
        <f t="shared" ca="1" si="37"/>
        <v>98</v>
      </c>
      <c r="Z58" s="12" t="str">
        <f t="shared" si="24"/>
        <v>女</v>
      </c>
    </row>
    <row r="59" spans="1:29" ht="18.600000000000001" thickTop="1" x14ac:dyDescent="0.45">
      <c r="A59" s="162">
        <v>209</v>
      </c>
      <c r="B59" s="42" t="s">
        <v>143</v>
      </c>
      <c r="C59" s="10">
        <v>20825</v>
      </c>
      <c r="D59" s="13" t="str">
        <f t="shared" ca="1" si="66"/>
        <v>69歳</v>
      </c>
      <c r="E59" s="13" t="s">
        <v>29</v>
      </c>
      <c r="F59" s="13">
        <v>4</v>
      </c>
      <c r="G59" s="17">
        <v>47026</v>
      </c>
      <c r="H59" s="17">
        <v>45152</v>
      </c>
      <c r="I59" s="17" t="s">
        <v>14</v>
      </c>
      <c r="J59" s="18" t="s">
        <v>144</v>
      </c>
      <c r="K59" s="22" t="s">
        <v>145</v>
      </c>
      <c r="L59" s="13" t="str">
        <f>IF(MONTH(G59)=4,"更新",IF(MONTH(G59)=10,"ﾓﾆﾀ",""))</f>
        <v/>
      </c>
      <c r="M59" s="13" t="str">
        <f>IF(MONTH(G59)=5,"更新",IF(MONTH(G59)=11,"ﾓﾆﾀ",""))</f>
        <v/>
      </c>
      <c r="N59" s="13" t="str">
        <f>IF(MONTH(G59)=6,"更新",IF(MONTH(G59)=12,"ﾓﾆﾀ",""))</f>
        <v/>
      </c>
      <c r="O59" s="13" t="str">
        <f>IF(MONTH(G59)=7,"更新",IF(MONTH(G59)=1,"ﾓﾆﾀ",""))</f>
        <v/>
      </c>
      <c r="P59" s="13" t="str">
        <f>IF(MONTH(G59)=8,"更新",IF(MONTH(G59)=2,"ﾓﾆﾀ",""))</f>
        <v/>
      </c>
      <c r="Q59" s="13" t="str">
        <f>IF(MONTH(G59)=9,"更新",IF(MONTH(G59)=3,"ﾓﾆﾀ",""))</f>
        <v>更新</v>
      </c>
      <c r="R59" s="13" t="str">
        <f>IF(MONTH(G59)=10,"更新",IF(MONTH(G59)=4,"ﾓﾆﾀ",""))</f>
        <v/>
      </c>
      <c r="S59" s="13" t="str">
        <f>IF(MONTH(G59)=11,"更新",IF(MONTH(G59)=5,"ﾓﾆﾀ",""))</f>
        <v/>
      </c>
      <c r="T59" s="13" t="str">
        <f>IF(MONTH(G59)=12,"更新",IF(MONTH(G59)=6,"ﾓﾆﾀ",""))</f>
        <v/>
      </c>
      <c r="U59" s="13" t="str">
        <f>IF(MONTH(G59)=1,"更新",IF(MONTH(G59)=7,"ﾓﾆﾀ",""))</f>
        <v/>
      </c>
      <c r="V59" s="13" t="str">
        <f>IF(MONTH(G59)=2,"更新",IF(MONTH(G59)=8,"ﾓﾆﾀ",""))</f>
        <v/>
      </c>
      <c r="W59" s="13" t="str">
        <f>IF(MONTH(G59)=3,"更新",IF(MONTH(G59)=9,"ﾓﾆﾀ",""))</f>
        <v>ﾓﾆﾀ</v>
      </c>
      <c r="X59" s="34"/>
      <c r="Y59">
        <f t="shared" ca="1" si="37"/>
        <v>101</v>
      </c>
      <c r="Z59" s="12" t="str">
        <f t="shared" si="24"/>
        <v>女</v>
      </c>
    </row>
    <row r="60" spans="1:29" ht="18" x14ac:dyDescent="0.45">
      <c r="A60" s="158"/>
      <c r="B60" s="43" t="s">
        <v>146</v>
      </c>
      <c r="C60" s="9">
        <v>12241</v>
      </c>
      <c r="D60" s="12" t="str">
        <f t="shared" ca="1" si="66"/>
        <v>92歳</v>
      </c>
      <c r="E60" s="13" t="s">
        <v>29</v>
      </c>
      <c r="F60" s="13">
        <v>3</v>
      </c>
      <c r="G60" s="15">
        <v>47452</v>
      </c>
      <c r="H60" s="17">
        <v>46136</v>
      </c>
      <c r="I60" s="17" t="s">
        <v>17</v>
      </c>
      <c r="J60" s="6" t="s">
        <v>147</v>
      </c>
      <c r="K60" s="20">
        <v>9019477165</v>
      </c>
      <c r="L60" s="12" t="str">
        <f>IF(MONTH(G60)=4,"更新",IF(MONTH(G60)=10,"ﾓﾆﾀ",""))</f>
        <v/>
      </c>
      <c r="M60" s="12" t="str">
        <f t="shared" ref="M60:M76" si="67">IF(MONTH(G60)=5,"更新",IF(MONTH(G60)=11,"ﾓﾆﾀ",""))</f>
        <v>ﾓﾆﾀ</v>
      </c>
      <c r="N60" s="12" t="str">
        <f t="shared" ref="N60:N76" si="68">IF(MONTH(G60)=6,"更新",IF(MONTH(G60)=12,"ﾓﾆﾀ",""))</f>
        <v/>
      </c>
      <c r="O60" s="12" t="str">
        <f t="shared" ref="O60:O76" si="69">IF(MONTH(G60)=7,"更新",IF(MONTH(G60)=1,"ﾓﾆﾀ",""))</f>
        <v/>
      </c>
      <c r="P60" s="12" t="str">
        <f t="shared" ref="P60:P76" si="70">IF(MONTH(G60)=8,"更新",IF(MONTH(G60)=2,"ﾓﾆﾀ",""))</f>
        <v/>
      </c>
      <c r="Q60" s="12" t="str">
        <f t="shared" ref="Q60:Q76" si="71">IF(MONTH(G60)=9,"更新",IF(MONTH(G60)=3,"ﾓﾆﾀ",""))</f>
        <v/>
      </c>
      <c r="R60" s="12" t="str">
        <f t="shared" ref="R60:R76" si="72">IF(MONTH(G60)=10,"更新",IF(MONTH(G60)=4,"ﾓﾆﾀ",""))</f>
        <v/>
      </c>
      <c r="S60" s="12" t="str">
        <f t="shared" ref="S60:S76" si="73">IF(MONTH(G60)=11,"更新",IF(MONTH(G60)=5,"ﾓﾆﾀ",""))</f>
        <v>更新</v>
      </c>
      <c r="T60" s="12" t="str">
        <f t="shared" ref="T60:T76" si="74">IF(MONTH(G60)=12,"更新",IF(MONTH(G60)=6,"ﾓﾆﾀ",""))</f>
        <v/>
      </c>
      <c r="U60" s="12" t="str">
        <f t="shared" ref="U60:U76" si="75">IF(MONTH(G60)=1,"更新",IF(MONTH(G60)=7,"ﾓﾆﾀ",""))</f>
        <v/>
      </c>
      <c r="V60" s="12" t="str">
        <f t="shared" ref="V60:V76" si="76">IF(MONTH(G60)=2,"更新",IF(MONTH(G60)=8,"ﾓﾆﾀ",""))</f>
        <v/>
      </c>
      <c r="W60" s="12" t="str">
        <f t="shared" ref="W60:W76" si="77">IF(MONTH(G60)=3,"更新",IF(MONTH(G60)=9,"ﾓﾆﾀ",""))</f>
        <v/>
      </c>
      <c r="X60" s="34"/>
      <c r="Y60">
        <f t="shared" ca="1" si="37"/>
        <v>82</v>
      </c>
      <c r="Z60" s="12" t="str">
        <f t="shared" si="24"/>
        <v>女</v>
      </c>
    </row>
    <row r="61" spans="1:29" ht="18" x14ac:dyDescent="0.45">
      <c r="A61" s="158"/>
      <c r="B61" s="7" t="s">
        <v>148</v>
      </c>
      <c r="C61" s="10">
        <v>9574</v>
      </c>
      <c r="D61" s="13" t="str">
        <f t="shared" ca="1" si="65"/>
        <v>100歳</v>
      </c>
      <c r="E61" s="13" t="s">
        <v>29</v>
      </c>
      <c r="F61" s="13"/>
      <c r="G61" s="17">
        <v>45291</v>
      </c>
      <c r="H61" s="17">
        <v>39783</v>
      </c>
      <c r="I61" s="17"/>
      <c r="J61" s="18" t="s">
        <v>149</v>
      </c>
      <c r="K61" s="22">
        <v>8017605702</v>
      </c>
      <c r="L61" s="13" t="str">
        <f t="shared" ref="L61:L76" si="78">IF(MONTH(G61)=4,"更新",IF(MONTH(G61)=10,"ﾓﾆﾀ",""))</f>
        <v/>
      </c>
      <c r="M61" s="13" t="str">
        <f t="shared" si="67"/>
        <v/>
      </c>
      <c r="N61" s="13" t="str">
        <f t="shared" si="68"/>
        <v>ﾓﾆﾀ</v>
      </c>
      <c r="O61" s="13" t="str">
        <f t="shared" si="69"/>
        <v/>
      </c>
      <c r="P61" s="13" t="str">
        <f t="shared" si="70"/>
        <v/>
      </c>
      <c r="Q61" s="13" t="str">
        <f t="shared" si="71"/>
        <v/>
      </c>
      <c r="R61" s="13" t="str">
        <f t="shared" si="72"/>
        <v/>
      </c>
      <c r="S61" s="13" t="str">
        <f t="shared" si="73"/>
        <v/>
      </c>
      <c r="T61" s="13" t="str">
        <f t="shared" si="74"/>
        <v>更新</v>
      </c>
      <c r="U61" s="13" t="str">
        <f t="shared" si="75"/>
        <v/>
      </c>
      <c r="V61" s="13" t="str">
        <f t="shared" si="76"/>
        <v/>
      </c>
      <c r="W61" s="13" t="str">
        <f t="shared" si="77"/>
        <v/>
      </c>
      <c r="X61" s="34"/>
      <c r="Y61">
        <f t="shared" ca="1" si="37"/>
        <v>101</v>
      </c>
      <c r="Z61" s="12" t="str">
        <f t="shared" si="24"/>
        <v>女</v>
      </c>
    </row>
    <row r="62" spans="1:29" ht="18.600000000000001" thickBot="1" x14ac:dyDescent="0.5">
      <c r="A62" s="161"/>
      <c r="B62" s="8" t="s">
        <v>150</v>
      </c>
      <c r="C62" s="11">
        <v>11639</v>
      </c>
      <c r="D62" s="14" t="str">
        <f t="shared" ca="1" si="65"/>
        <v>94歳</v>
      </c>
      <c r="E62" s="14" t="s">
        <v>29</v>
      </c>
      <c r="F62" s="14"/>
      <c r="G62" s="16">
        <v>45382</v>
      </c>
      <c r="H62" s="16">
        <v>44056</v>
      </c>
      <c r="I62" s="16"/>
      <c r="J62" s="19" t="s">
        <v>151</v>
      </c>
      <c r="K62" s="21">
        <v>9096518032</v>
      </c>
      <c r="L62" s="14" t="str">
        <f t="shared" si="78"/>
        <v/>
      </c>
      <c r="M62" s="14" t="str">
        <f t="shared" si="67"/>
        <v/>
      </c>
      <c r="N62" s="14" t="str">
        <f t="shared" si="68"/>
        <v/>
      </c>
      <c r="O62" s="14" t="str">
        <f t="shared" si="69"/>
        <v/>
      </c>
      <c r="P62" s="14" t="str">
        <f t="shared" si="70"/>
        <v/>
      </c>
      <c r="Q62" s="14" t="str">
        <f t="shared" si="71"/>
        <v>ﾓﾆﾀ</v>
      </c>
      <c r="R62" s="14" t="str">
        <f t="shared" si="72"/>
        <v/>
      </c>
      <c r="S62" s="14" t="str">
        <f t="shared" si="73"/>
        <v/>
      </c>
      <c r="T62" s="14" t="str">
        <f t="shared" si="74"/>
        <v/>
      </c>
      <c r="U62" s="14" t="str">
        <f t="shared" si="75"/>
        <v/>
      </c>
      <c r="V62" s="14" t="str">
        <f t="shared" si="76"/>
        <v/>
      </c>
      <c r="W62" s="14" t="str">
        <f t="shared" si="77"/>
        <v>更新</v>
      </c>
      <c r="X62" s="34"/>
      <c r="Y62" t="e">
        <f ca="1">IF(#REF!="","",DATEDIF(#REF!,TODAY(),"Y"))</f>
        <v>#REF!</v>
      </c>
      <c r="Z62" s="12" t="str">
        <f t="shared" si="24"/>
        <v>女</v>
      </c>
    </row>
    <row r="63" spans="1:29" ht="18.600000000000001" thickTop="1" x14ac:dyDescent="0.45">
      <c r="A63" s="158" t="s">
        <v>152</v>
      </c>
      <c r="B63" s="7" t="s">
        <v>153</v>
      </c>
      <c r="C63" s="10">
        <v>10139</v>
      </c>
      <c r="D63" s="13" t="str">
        <f t="shared" ca="1" si="65"/>
        <v>98歳</v>
      </c>
      <c r="E63" s="13" t="s">
        <v>29</v>
      </c>
      <c r="F63" s="13"/>
      <c r="G63" s="17">
        <v>45565</v>
      </c>
      <c r="H63" s="17">
        <v>45369</v>
      </c>
      <c r="I63" s="17"/>
      <c r="J63" s="18" t="s">
        <v>154</v>
      </c>
      <c r="K63" s="22">
        <v>9082945958</v>
      </c>
      <c r="L63" s="13" t="str">
        <f t="shared" si="78"/>
        <v/>
      </c>
      <c r="M63" s="13" t="str">
        <f t="shared" si="67"/>
        <v/>
      </c>
      <c r="N63" s="13" t="str">
        <f t="shared" si="68"/>
        <v/>
      </c>
      <c r="O63" s="13" t="str">
        <f t="shared" si="69"/>
        <v/>
      </c>
      <c r="P63" s="13" t="str">
        <f t="shared" si="70"/>
        <v/>
      </c>
      <c r="Q63" s="13" t="str">
        <f t="shared" si="71"/>
        <v>更新</v>
      </c>
      <c r="R63" s="13" t="str">
        <f t="shared" si="72"/>
        <v/>
      </c>
      <c r="S63" s="13" t="str">
        <f t="shared" si="73"/>
        <v/>
      </c>
      <c r="T63" s="13" t="str">
        <f t="shared" si="74"/>
        <v/>
      </c>
      <c r="U63" s="13" t="str">
        <f t="shared" si="75"/>
        <v/>
      </c>
      <c r="V63" s="13" t="str">
        <f t="shared" si="76"/>
        <v/>
      </c>
      <c r="W63" s="13" t="str">
        <f t="shared" si="77"/>
        <v>ﾓﾆﾀ</v>
      </c>
      <c r="X63" s="34"/>
      <c r="Y63" t="str">
        <f ca="1">IF(C67="","",DATEDIF(C67,TODAY(),"Y"))</f>
        <v/>
      </c>
      <c r="Z63" s="12" t="str">
        <f t="shared" si="24"/>
        <v>女</v>
      </c>
    </row>
    <row r="64" spans="1:29" ht="18.600000000000001" thickBot="1" x14ac:dyDescent="0.5">
      <c r="A64" s="161"/>
      <c r="B64" s="8" t="s">
        <v>155</v>
      </c>
      <c r="C64" s="11">
        <v>9089</v>
      </c>
      <c r="D64" s="14" t="str">
        <f t="shared" ca="1" si="65"/>
        <v>101歳</v>
      </c>
      <c r="E64" s="14" t="s">
        <v>11</v>
      </c>
      <c r="F64" s="14"/>
      <c r="G64" s="16">
        <v>46053</v>
      </c>
      <c r="H64" s="16">
        <v>45386</v>
      </c>
      <c r="I64" s="16"/>
      <c r="J64" s="19" t="s">
        <v>154</v>
      </c>
      <c r="K64" s="21">
        <v>9082945958</v>
      </c>
      <c r="L64" s="14" t="str">
        <f t="shared" si="78"/>
        <v/>
      </c>
      <c r="M64" s="14" t="str">
        <f t="shared" si="67"/>
        <v/>
      </c>
      <c r="N64" s="14" t="str">
        <f t="shared" si="68"/>
        <v/>
      </c>
      <c r="O64" s="14" t="str">
        <f t="shared" si="69"/>
        <v>ﾓﾆﾀ</v>
      </c>
      <c r="P64" s="14" t="str">
        <f t="shared" si="70"/>
        <v/>
      </c>
      <c r="Q64" s="14" t="str">
        <f t="shared" si="71"/>
        <v/>
      </c>
      <c r="R64" s="14" t="str">
        <f t="shared" si="72"/>
        <v/>
      </c>
      <c r="S64" s="14" t="str">
        <f t="shared" si="73"/>
        <v/>
      </c>
      <c r="T64" s="14" t="str">
        <f t="shared" si="74"/>
        <v/>
      </c>
      <c r="U64" s="14" t="str">
        <f t="shared" si="75"/>
        <v>更新</v>
      </c>
      <c r="V64" s="14" t="str">
        <f t="shared" si="76"/>
        <v/>
      </c>
      <c r="W64" s="14" t="str">
        <f t="shared" si="77"/>
        <v/>
      </c>
      <c r="X64" s="34"/>
      <c r="Y64" t="str">
        <f ca="1">IF(C68="","",DATEDIF(C68,TODAY(),"Y"))</f>
        <v/>
      </c>
      <c r="Z64" s="12" t="str">
        <f t="shared" si="24"/>
        <v>男</v>
      </c>
    </row>
    <row r="65" spans="1:34" ht="19.2" thickTop="1" thickBot="1" x14ac:dyDescent="0.5">
      <c r="A65" s="100" t="s">
        <v>156</v>
      </c>
      <c r="B65" s="68" t="s">
        <v>157</v>
      </c>
      <c r="C65" s="11">
        <v>16121</v>
      </c>
      <c r="D65" s="13" t="str">
        <f t="shared" ref="D65:D66" ca="1" si="79">IF(C65="","",DATEDIF(C65,TODAY(),"y")&amp;"歳")</f>
        <v>82歳</v>
      </c>
      <c r="E65" s="14" t="s">
        <v>29</v>
      </c>
      <c r="F65" s="14">
        <v>3</v>
      </c>
      <c r="G65" s="16">
        <v>46873</v>
      </c>
      <c r="H65" s="16">
        <v>45779</v>
      </c>
      <c r="I65" s="16" t="s">
        <v>17</v>
      </c>
      <c r="J65" s="19" t="s">
        <v>158</v>
      </c>
      <c r="K65" s="21">
        <v>9082928104</v>
      </c>
      <c r="L65" s="13" t="str">
        <f t="shared" si="78"/>
        <v>更新</v>
      </c>
      <c r="M65" s="13" t="str">
        <f t="shared" si="67"/>
        <v/>
      </c>
      <c r="N65" s="13" t="str">
        <f t="shared" si="68"/>
        <v/>
      </c>
      <c r="O65" s="13" t="str">
        <f t="shared" si="69"/>
        <v/>
      </c>
      <c r="P65" s="13" t="str">
        <f t="shared" si="70"/>
        <v/>
      </c>
      <c r="Q65" s="13" t="str">
        <f t="shared" si="71"/>
        <v/>
      </c>
      <c r="R65" s="13" t="str">
        <f t="shared" si="72"/>
        <v>ﾓﾆﾀ</v>
      </c>
      <c r="S65" s="13" t="str">
        <f t="shared" si="73"/>
        <v/>
      </c>
      <c r="T65" s="13" t="str">
        <f t="shared" si="74"/>
        <v/>
      </c>
      <c r="U65" s="13" t="str">
        <f t="shared" si="75"/>
        <v/>
      </c>
      <c r="V65" s="13" t="str">
        <f t="shared" si="76"/>
        <v/>
      </c>
      <c r="W65" s="13" t="str">
        <f t="shared" si="77"/>
        <v/>
      </c>
      <c r="X65" s="34"/>
      <c r="Y65">
        <f ca="1">IF(C69="","",DATEDIF(C69,TODAY(),"Y"))</f>
        <v>85</v>
      </c>
      <c r="Z65" s="12" t="str">
        <f t="shared" si="24"/>
        <v>女</v>
      </c>
    </row>
    <row r="66" spans="1:34" ht="19.2" thickTop="1" thickBot="1" x14ac:dyDescent="0.5">
      <c r="A66" s="161"/>
      <c r="B66" s="8" t="s">
        <v>96</v>
      </c>
      <c r="C66" s="11">
        <v>8987</v>
      </c>
      <c r="D66" s="14" t="str">
        <f t="shared" ca="1" si="79"/>
        <v>101歳</v>
      </c>
      <c r="E66" s="14" t="s">
        <v>29</v>
      </c>
      <c r="F66" s="14"/>
      <c r="G66" s="16">
        <v>45230</v>
      </c>
      <c r="H66" s="16">
        <v>44806</v>
      </c>
      <c r="I66" s="16"/>
      <c r="J66" s="19" t="s">
        <v>97</v>
      </c>
      <c r="K66" s="21">
        <v>9073939594</v>
      </c>
      <c r="L66" s="14" t="str">
        <f t="shared" si="78"/>
        <v>ﾓﾆﾀ</v>
      </c>
      <c r="M66" s="14" t="str">
        <f t="shared" si="67"/>
        <v/>
      </c>
      <c r="N66" s="14" t="str">
        <f t="shared" si="68"/>
        <v/>
      </c>
      <c r="O66" s="14" t="str">
        <f t="shared" si="69"/>
        <v/>
      </c>
      <c r="P66" s="14" t="str">
        <f t="shared" si="70"/>
        <v/>
      </c>
      <c r="Q66" s="14" t="str">
        <f t="shared" si="71"/>
        <v/>
      </c>
      <c r="R66" s="14" t="str">
        <f t="shared" si="72"/>
        <v>更新</v>
      </c>
      <c r="S66" s="14" t="str">
        <f t="shared" si="73"/>
        <v/>
      </c>
      <c r="T66" s="14" t="str">
        <f t="shared" si="74"/>
        <v/>
      </c>
      <c r="U66" s="14" t="str">
        <f t="shared" si="75"/>
        <v/>
      </c>
      <c r="V66" s="14" t="str">
        <f t="shared" si="76"/>
        <v/>
      </c>
      <c r="W66" s="14" t="str">
        <f t="shared" si="77"/>
        <v/>
      </c>
      <c r="X66" s="34"/>
      <c r="Y66">
        <f ca="1">IF(C70="","",DATEDIF(C70,TODAY(),"Y"))</f>
        <v>98</v>
      </c>
      <c r="Z66" s="12" t="str">
        <f t="shared" si="24"/>
        <v>女</v>
      </c>
    </row>
    <row r="67" spans="1:34" ht="18.600000000000001" thickTop="1" x14ac:dyDescent="0.45">
      <c r="A67" s="162">
        <v>221</v>
      </c>
      <c r="B67" s="7"/>
      <c r="C67" s="10"/>
      <c r="D67" s="13"/>
      <c r="E67" s="13"/>
      <c r="F67" s="13"/>
      <c r="G67" s="17"/>
      <c r="H67" s="17"/>
      <c r="I67" s="17"/>
      <c r="J67" s="18"/>
      <c r="K67" s="20"/>
      <c r="L67" s="12" t="str">
        <f t="shared" si="78"/>
        <v/>
      </c>
      <c r="M67" s="12" t="str">
        <f t="shared" si="67"/>
        <v/>
      </c>
      <c r="N67" s="12" t="str">
        <f t="shared" si="68"/>
        <v/>
      </c>
      <c r="O67" s="12" t="str">
        <f t="shared" si="69"/>
        <v>ﾓﾆﾀ</v>
      </c>
      <c r="P67" s="12" t="str">
        <f t="shared" si="70"/>
        <v/>
      </c>
      <c r="Q67" s="12" t="str">
        <f t="shared" si="71"/>
        <v/>
      </c>
      <c r="R67" s="12" t="str">
        <f t="shared" si="72"/>
        <v/>
      </c>
      <c r="S67" s="12" t="str">
        <f t="shared" si="73"/>
        <v/>
      </c>
      <c r="T67" s="12" t="str">
        <f t="shared" si="74"/>
        <v/>
      </c>
      <c r="U67" s="12" t="str">
        <f t="shared" si="75"/>
        <v>更新</v>
      </c>
      <c r="V67" s="12" t="str">
        <f t="shared" si="76"/>
        <v/>
      </c>
      <c r="W67" s="12" t="str">
        <f t="shared" si="77"/>
        <v/>
      </c>
      <c r="X67" s="34"/>
      <c r="Y67">
        <f t="shared" ref="Y67:Y76" ca="1" si="80">IF(C72="","",DATEDIF(C72,TODAY(),"Y"))</f>
        <v>104</v>
      </c>
      <c r="Z67" s="12">
        <f t="shared" ref="Z67:Z76" si="81">E67</f>
        <v>0</v>
      </c>
    </row>
    <row r="68" spans="1:34" ht="18.600000000000001" thickBot="1" x14ac:dyDescent="0.5">
      <c r="A68" s="161"/>
      <c r="B68" s="107"/>
      <c r="C68" s="11"/>
      <c r="D68" s="13"/>
      <c r="E68" s="14"/>
      <c r="F68" s="14"/>
      <c r="G68" s="16"/>
      <c r="H68" s="16"/>
      <c r="I68" s="16"/>
      <c r="J68" s="19"/>
      <c r="K68" s="21"/>
      <c r="L68" s="14" t="str">
        <f t="shared" ref="L68" si="82">IF(MONTH(G68)=4,"更新",IF(MONTH(G68)=10,"ﾓﾆﾀ",""))</f>
        <v/>
      </c>
      <c r="M68" s="14" t="str">
        <f t="shared" ref="M68" si="83">IF(MONTH(G68)=5,"更新",IF(MONTH(G68)=11,"ﾓﾆﾀ",""))</f>
        <v/>
      </c>
      <c r="N68" s="14" t="str">
        <f t="shared" ref="N68" si="84">IF(MONTH(G68)=6,"更新",IF(MONTH(G68)=12,"ﾓﾆﾀ",""))</f>
        <v/>
      </c>
      <c r="O68" s="14" t="str">
        <f t="shared" ref="O68" si="85">IF(MONTH(G68)=7,"更新",IF(MONTH(G68)=1,"ﾓﾆﾀ",""))</f>
        <v>ﾓﾆﾀ</v>
      </c>
      <c r="P68" s="14" t="str">
        <f t="shared" ref="P68" si="86">IF(MONTH(G68)=8,"更新",IF(MONTH(G68)=2,"ﾓﾆﾀ",""))</f>
        <v/>
      </c>
      <c r="Q68" s="14" t="str">
        <f t="shared" ref="Q68" si="87">IF(MONTH(G68)=9,"更新",IF(MONTH(G68)=3,"ﾓﾆﾀ",""))</f>
        <v/>
      </c>
      <c r="R68" s="14" t="str">
        <f t="shared" ref="R68" si="88">IF(MONTH(G68)=10,"更新",IF(MONTH(G68)=4,"ﾓﾆﾀ",""))</f>
        <v/>
      </c>
      <c r="S68" s="14" t="str">
        <f t="shared" ref="S68" si="89">IF(MONTH(G68)=11,"更新",IF(MONTH(G68)=5,"ﾓﾆﾀ",""))</f>
        <v/>
      </c>
      <c r="T68" s="14" t="str">
        <f t="shared" ref="T68" si="90">IF(MONTH(G68)=12,"更新",IF(MONTH(G68)=6,"ﾓﾆﾀ",""))</f>
        <v/>
      </c>
      <c r="U68" s="14" t="str">
        <f t="shared" ref="U68" si="91">IF(MONTH(G68)=1,"更新",IF(MONTH(G68)=7,"ﾓﾆﾀ",""))</f>
        <v>更新</v>
      </c>
      <c r="V68" s="14" t="str">
        <f t="shared" ref="V68" si="92">IF(MONTH(G68)=2,"更新",IF(MONTH(G68)=8,"ﾓﾆﾀ",""))</f>
        <v/>
      </c>
      <c r="W68" s="14" t="str">
        <f t="shared" ref="W68" si="93">IF(MONTH(G68)=3,"更新",IF(MONTH(G68)=9,"ﾓﾆﾀ",""))</f>
        <v/>
      </c>
      <c r="X68" s="34"/>
      <c r="Z68" s="120">
        <f t="shared" si="81"/>
        <v>0</v>
      </c>
    </row>
    <row r="69" spans="1:34" ht="18.600000000000001" thickTop="1" x14ac:dyDescent="0.45">
      <c r="A69" s="158">
        <v>222</v>
      </c>
      <c r="B69" s="43" t="s">
        <v>159</v>
      </c>
      <c r="C69" s="9">
        <v>14948</v>
      </c>
      <c r="D69" s="12" t="str">
        <f t="shared" ref="D69" ca="1" si="94">IF(C69="","",DATEDIF(C69,TODAY(),"y")&amp;"歳")</f>
        <v>85歳</v>
      </c>
      <c r="E69" s="13" t="s">
        <v>29</v>
      </c>
      <c r="F69" s="13">
        <v>3</v>
      </c>
      <c r="G69" s="15">
        <v>46660</v>
      </c>
      <c r="H69" s="17">
        <v>46069</v>
      </c>
      <c r="I69" s="17" t="s">
        <v>14</v>
      </c>
      <c r="J69" s="6" t="s">
        <v>160</v>
      </c>
      <c r="K69" s="20">
        <v>7058169762</v>
      </c>
      <c r="L69" s="13" t="str">
        <f t="shared" si="78"/>
        <v/>
      </c>
      <c r="M69" s="13" t="str">
        <f t="shared" si="67"/>
        <v/>
      </c>
      <c r="N69" s="13" t="str">
        <f t="shared" si="68"/>
        <v/>
      </c>
      <c r="O69" s="13" t="str">
        <f t="shared" si="69"/>
        <v/>
      </c>
      <c r="P69" s="13" t="str">
        <f t="shared" si="70"/>
        <v/>
      </c>
      <c r="Q69" s="13" t="str">
        <f t="shared" si="71"/>
        <v>更新</v>
      </c>
      <c r="R69" s="13" t="str">
        <f t="shared" si="72"/>
        <v/>
      </c>
      <c r="S69" s="13" t="str">
        <f t="shared" si="73"/>
        <v/>
      </c>
      <c r="T69" s="13" t="str">
        <f t="shared" si="74"/>
        <v/>
      </c>
      <c r="U69" s="13" t="str">
        <f t="shared" si="75"/>
        <v/>
      </c>
      <c r="V69" s="13" t="str">
        <f t="shared" si="76"/>
        <v/>
      </c>
      <c r="W69" s="13" t="str">
        <f t="shared" si="77"/>
        <v>ﾓﾆﾀ</v>
      </c>
      <c r="X69" s="34"/>
      <c r="Y69">
        <f t="shared" ca="1" si="80"/>
        <v>72</v>
      </c>
      <c r="Z69" s="12" t="str">
        <f t="shared" si="81"/>
        <v>女</v>
      </c>
    </row>
    <row r="70" spans="1:34" ht="18.600000000000001" thickBot="1" x14ac:dyDescent="0.5">
      <c r="A70" s="161"/>
      <c r="B70" s="68" t="s">
        <v>161</v>
      </c>
      <c r="C70" s="11">
        <v>10094</v>
      </c>
      <c r="D70" s="13" t="str">
        <f t="shared" ca="1" si="65"/>
        <v>98歳</v>
      </c>
      <c r="E70" s="14" t="s">
        <v>29</v>
      </c>
      <c r="F70" s="14">
        <v>3</v>
      </c>
      <c r="G70" s="16">
        <v>46630</v>
      </c>
      <c r="H70" s="16">
        <v>46149</v>
      </c>
      <c r="I70" s="16" t="s">
        <v>34</v>
      </c>
      <c r="J70" s="19" t="s">
        <v>162</v>
      </c>
      <c r="K70" s="21">
        <v>9037954112</v>
      </c>
      <c r="L70" s="14" t="str">
        <f t="shared" si="78"/>
        <v/>
      </c>
      <c r="M70" s="14" t="str">
        <f t="shared" si="67"/>
        <v/>
      </c>
      <c r="N70" s="14" t="str">
        <f t="shared" si="68"/>
        <v/>
      </c>
      <c r="O70" s="14" t="str">
        <f t="shared" si="69"/>
        <v/>
      </c>
      <c r="P70" s="14" t="str">
        <f t="shared" si="70"/>
        <v>更新</v>
      </c>
      <c r="Q70" s="14" t="str">
        <f t="shared" si="71"/>
        <v/>
      </c>
      <c r="R70" s="14" t="str">
        <f t="shared" si="72"/>
        <v/>
      </c>
      <c r="S70" s="14" t="str">
        <f t="shared" si="73"/>
        <v/>
      </c>
      <c r="T70" s="14" t="str">
        <f t="shared" si="74"/>
        <v/>
      </c>
      <c r="U70" s="14" t="str">
        <f t="shared" si="75"/>
        <v/>
      </c>
      <c r="V70" s="14" t="str">
        <f t="shared" si="76"/>
        <v>ﾓﾆﾀ</v>
      </c>
      <c r="W70" s="14" t="str">
        <f t="shared" si="77"/>
        <v/>
      </c>
      <c r="X70" s="34"/>
      <c r="Y70">
        <f t="shared" ca="1" si="80"/>
        <v>82</v>
      </c>
      <c r="Z70" s="12" t="str">
        <f t="shared" si="81"/>
        <v>女</v>
      </c>
    </row>
    <row r="71" spans="1:34" ht="18.600000000000001" thickTop="1" x14ac:dyDescent="0.45">
      <c r="A71" s="158">
        <v>225</v>
      </c>
      <c r="B71" s="4" t="s">
        <v>163</v>
      </c>
      <c r="C71" s="9">
        <v>13956</v>
      </c>
      <c r="D71" s="12" t="str">
        <f t="shared" ca="1" si="65"/>
        <v>88歳</v>
      </c>
      <c r="E71" s="13" t="s">
        <v>29</v>
      </c>
      <c r="F71" s="13"/>
      <c r="G71" s="15">
        <v>45138</v>
      </c>
      <c r="H71" s="15">
        <v>44282</v>
      </c>
      <c r="I71" s="15"/>
      <c r="J71" s="6" t="s">
        <v>164</v>
      </c>
      <c r="K71" s="20">
        <v>9019459400</v>
      </c>
      <c r="L71" s="13" t="str">
        <f t="shared" si="78"/>
        <v/>
      </c>
      <c r="M71" s="13" t="str">
        <f t="shared" si="67"/>
        <v/>
      </c>
      <c r="N71" s="13" t="str">
        <f t="shared" si="68"/>
        <v/>
      </c>
      <c r="O71" s="13" t="str">
        <f t="shared" si="69"/>
        <v>更新</v>
      </c>
      <c r="P71" s="13" t="str">
        <f t="shared" si="70"/>
        <v/>
      </c>
      <c r="Q71" s="13" t="str">
        <f t="shared" si="71"/>
        <v/>
      </c>
      <c r="R71" s="13" t="str">
        <f t="shared" si="72"/>
        <v/>
      </c>
      <c r="S71" s="13" t="str">
        <f t="shared" si="73"/>
        <v/>
      </c>
      <c r="T71" s="13" t="str">
        <f t="shared" si="74"/>
        <v/>
      </c>
      <c r="U71" s="13" t="str">
        <f t="shared" si="75"/>
        <v>ﾓﾆﾀ</v>
      </c>
      <c r="V71" s="13" t="str">
        <f t="shared" si="76"/>
        <v/>
      </c>
      <c r="W71" s="13" t="str">
        <f t="shared" si="77"/>
        <v/>
      </c>
      <c r="X71" s="34"/>
      <c r="Y71">
        <f t="shared" ca="1" si="80"/>
        <v>80</v>
      </c>
      <c r="Z71" s="12" t="str">
        <f t="shared" si="81"/>
        <v>女</v>
      </c>
    </row>
    <row r="72" spans="1:34" ht="18.600000000000001" thickBot="1" x14ac:dyDescent="0.5">
      <c r="A72" s="161"/>
      <c r="B72" s="68" t="s">
        <v>165</v>
      </c>
      <c r="C72" s="11">
        <v>8155</v>
      </c>
      <c r="D72" s="14" t="str">
        <f t="shared" ca="1" si="65"/>
        <v>104歳</v>
      </c>
      <c r="E72" s="14" t="s">
        <v>29</v>
      </c>
      <c r="F72" s="14">
        <v>3</v>
      </c>
      <c r="G72" s="16">
        <v>46053</v>
      </c>
      <c r="H72" s="16">
        <v>45808</v>
      </c>
      <c r="I72" s="16" t="s">
        <v>14</v>
      </c>
      <c r="J72" s="19" t="s">
        <v>166</v>
      </c>
      <c r="K72" s="21">
        <v>8064915096</v>
      </c>
      <c r="L72" s="14" t="str">
        <f t="shared" si="78"/>
        <v/>
      </c>
      <c r="M72" s="14" t="str">
        <f t="shared" si="67"/>
        <v/>
      </c>
      <c r="N72" s="14" t="str">
        <f t="shared" si="68"/>
        <v/>
      </c>
      <c r="O72" s="14" t="str">
        <f t="shared" si="69"/>
        <v>ﾓﾆﾀ</v>
      </c>
      <c r="P72" s="14" t="str">
        <f t="shared" si="70"/>
        <v/>
      </c>
      <c r="Q72" s="14" t="str">
        <f t="shared" si="71"/>
        <v/>
      </c>
      <c r="R72" s="14" t="str">
        <f t="shared" si="72"/>
        <v/>
      </c>
      <c r="S72" s="14" t="str">
        <f t="shared" si="73"/>
        <v/>
      </c>
      <c r="T72" s="14" t="str">
        <f t="shared" si="74"/>
        <v/>
      </c>
      <c r="U72" s="14" t="str">
        <f t="shared" si="75"/>
        <v>更新</v>
      </c>
      <c r="V72" s="14" t="str">
        <f t="shared" si="76"/>
        <v/>
      </c>
      <c r="W72" s="14" t="str">
        <f t="shared" si="77"/>
        <v/>
      </c>
      <c r="X72" s="34"/>
      <c r="Y72" t="str">
        <f t="shared" ca="1" si="80"/>
        <v/>
      </c>
      <c r="Z72" s="12" t="str">
        <f t="shared" si="81"/>
        <v>女</v>
      </c>
    </row>
    <row r="73" spans="1:34" ht="18.600000000000001" thickTop="1" x14ac:dyDescent="0.45">
      <c r="A73" s="158">
        <v>226</v>
      </c>
      <c r="B73" s="43" t="s">
        <v>167</v>
      </c>
      <c r="C73" s="9">
        <v>16021</v>
      </c>
      <c r="D73" s="12" t="str">
        <f t="shared" ref="D73:D74" ca="1" si="95">IF(C73="","",DATEDIF(C73,TODAY(),"y")&amp;"歳")</f>
        <v>82歳</v>
      </c>
      <c r="E73" s="12" t="s">
        <v>29</v>
      </c>
      <c r="F73" s="12">
        <v>3</v>
      </c>
      <c r="G73" s="15">
        <v>46612</v>
      </c>
      <c r="H73" s="15">
        <v>45529</v>
      </c>
      <c r="I73" s="15" t="s">
        <v>41</v>
      </c>
      <c r="J73" s="6" t="s">
        <v>168</v>
      </c>
      <c r="K73" s="20">
        <v>9037904129</v>
      </c>
      <c r="L73" s="13" t="str">
        <f t="shared" si="78"/>
        <v/>
      </c>
      <c r="M73" s="13" t="str">
        <f t="shared" si="67"/>
        <v/>
      </c>
      <c r="N73" s="13" t="str">
        <f t="shared" si="68"/>
        <v/>
      </c>
      <c r="O73" s="13" t="str">
        <f t="shared" si="69"/>
        <v/>
      </c>
      <c r="P73" s="13" t="str">
        <f t="shared" si="70"/>
        <v>更新</v>
      </c>
      <c r="Q73" s="13" t="str">
        <f t="shared" si="71"/>
        <v/>
      </c>
      <c r="R73" s="13" t="str">
        <f t="shared" si="72"/>
        <v/>
      </c>
      <c r="S73" s="13" t="str">
        <f t="shared" si="73"/>
        <v/>
      </c>
      <c r="T73" s="13" t="str">
        <f t="shared" si="74"/>
        <v/>
      </c>
      <c r="U73" s="13" t="str">
        <f t="shared" si="75"/>
        <v/>
      </c>
      <c r="V73" s="13" t="str">
        <f t="shared" si="76"/>
        <v>ﾓﾆﾀ</v>
      </c>
      <c r="W73" s="13" t="str">
        <f t="shared" si="77"/>
        <v/>
      </c>
      <c r="X73" s="34"/>
      <c r="Y73" t="e">
        <f ca="1">IF(#REF!="","",DATEDIF(#REF!,TODAY(),"Y"))</f>
        <v>#REF!</v>
      </c>
      <c r="Z73" s="12" t="str">
        <f t="shared" si="81"/>
        <v>女</v>
      </c>
    </row>
    <row r="74" spans="1:34" ht="18.600000000000001" thickBot="1" x14ac:dyDescent="0.5">
      <c r="A74" s="161"/>
      <c r="B74" s="68" t="s">
        <v>169</v>
      </c>
      <c r="C74" s="11">
        <v>19804</v>
      </c>
      <c r="D74" s="14" t="str">
        <f t="shared" ca="1" si="95"/>
        <v>72歳</v>
      </c>
      <c r="E74" s="14" t="s">
        <v>29</v>
      </c>
      <c r="F74" s="14">
        <v>4</v>
      </c>
      <c r="G74" s="16">
        <v>46873</v>
      </c>
      <c r="H74" s="16">
        <v>45874</v>
      </c>
      <c r="I74" s="16" t="s">
        <v>41</v>
      </c>
      <c r="J74" s="19" t="s">
        <v>170</v>
      </c>
      <c r="K74" s="21">
        <v>9019478410</v>
      </c>
      <c r="L74" s="14" t="str">
        <f t="shared" si="78"/>
        <v>更新</v>
      </c>
      <c r="M74" s="14" t="str">
        <f t="shared" si="67"/>
        <v/>
      </c>
      <c r="N74" s="14" t="str">
        <f t="shared" si="68"/>
        <v/>
      </c>
      <c r="O74" s="14" t="str">
        <f t="shared" si="69"/>
        <v/>
      </c>
      <c r="P74" s="14" t="str">
        <f t="shared" si="70"/>
        <v/>
      </c>
      <c r="Q74" s="14" t="str">
        <f t="shared" si="71"/>
        <v/>
      </c>
      <c r="R74" s="14" t="str">
        <f t="shared" si="72"/>
        <v>ﾓﾆﾀ</v>
      </c>
      <c r="S74" s="14" t="str">
        <f t="shared" si="73"/>
        <v/>
      </c>
      <c r="T74" s="14" t="str">
        <f t="shared" si="74"/>
        <v/>
      </c>
      <c r="U74" s="14" t="str">
        <f t="shared" si="75"/>
        <v/>
      </c>
      <c r="V74" s="14" t="str">
        <f t="shared" si="76"/>
        <v/>
      </c>
      <c r="W74" s="14" t="str">
        <f t="shared" si="77"/>
        <v/>
      </c>
      <c r="X74" s="34"/>
      <c r="Y74" t="e">
        <f ca="1">IF(#REF!="","",DATEDIF(#REF!,TODAY(),"Y"))</f>
        <v>#REF!</v>
      </c>
      <c r="Z74" s="12" t="str">
        <f t="shared" si="81"/>
        <v>女</v>
      </c>
    </row>
    <row r="75" spans="1:34" ht="18.600000000000001" thickTop="1" x14ac:dyDescent="0.45">
      <c r="A75" s="158">
        <v>227</v>
      </c>
      <c r="B75" s="7" t="s">
        <v>171</v>
      </c>
      <c r="C75" s="10">
        <v>15950</v>
      </c>
      <c r="D75" s="13" t="str">
        <f t="shared" ref="D75" ca="1" si="96">IF(C75="","",DATEDIF(C75,TODAY(),"y")&amp;"歳")</f>
        <v>82歳</v>
      </c>
      <c r="E75" s="13" t="s">
        <v>11</v>
      </c>
      <c r="F75" s="13"/>
      <c r="G75" s="17">
        <v>45199</v>
      </c>
      <c r="H75" s="17">
        <v>44939</v>
      </c>
      <c r="I75" s="17"/>
      <c r="J75" s="18" t="s">
        <v>172</v>
      </c>
      <c r="K75" s="20">
        <v>9050816825</v>
      </c>
      <c r="L75" s="13" t="str">
        <f t="shared" si="78"/>
        <v/>
      </c>
      <c r="M75" s="13" t="str">
        <f t="shared" si="67"/>
        <v/>
      </c>
      <c r="N75" s="13" t="str">
        <f t="shared" si="68"/>
        <v/>
      </c>
      <c r="O75" s="13" t="str">
        <f t="shared" si="69"/>
        <v/>
      </c>
      <c r="P75" s="13" t="str">
        <f t="shared" si="70"/>
        <v/>
      </c>
      <c r="Q75" s="13" t="str">
        <f t="shared" si="71"/>
        <v>更新</v>
      </c>
      <c r="R75" s="13" t="str">
        <f t="shared" si="72"/>
        <v/>
      </c>
      <c r="S75" s="13" t="str">
        <f t="shared" si="73"/>
        <v/>
      </c>
      <c r="T75" s="13" t="str">
        <f t="shared" si="74"/>
        <v/>
      </c>
      <c r="U75" s="13" t="str">
        <f t="shared" si="75"/>
        <v/>
      </c>
      <c r="V75" s="13" t="str">
        <f t="shared" si="76"/>
        <v/>
      </c>
      <c r="W75" s="13" t="str">
        <f t="shared" si="77"/>
        <v>ﾓﾆﾀ</v>
      </c>
      <c r="X75" s="34"/>
      <c r="Y75" t="str">
        <f t="shared" ca="1" si="80"/>
        <v/>
      </c>
      <c r="Z75" s="12" t="str">
        <f t="shared" si="81"/>
        <v>男</v>
      </c>
    </row>
    <row r="76" spans="1:34" ht="18.600000000000001" thickBot="1" x14ac:dyDescent="0.5">
      <c r="A76" s="161"/>
      <c r="B76" s="8" t="s">
        <v>173</v>
      </c>
      <c r="C76" s="11">
        <v>16714</v>
      </c>
      <c r="D76" s="14" t="str">
        <f t="shared" ca="1" si="65"/>
        <v>80歳</v>
      </c>
      <c r="E76" s="14" t="s">
        <v>11</v>
      </c>
      <c r="F76" s="14"/>
      <c r="G76" s="16">
        <v>45382</v>
      </c>
      <c r="H76" s="16">
        <v>44354</v>
      </c>
      <c r="I76" s="16"/>
      <c r="J76" s="19" t="s">
        <v>174</v>
      </c>
      <c r="K76" s="21">
        <v>989942271</v>
      </c>
      <c r="L76" s="14" t="str">
        <f t="shared" si="78"/>
        <v/>
      </c>
      <c r="M76" s="14" t="str">
        <f t="shared" si="67"/>
        <v/>
      </c>
      <c r="N76" s="14" t="str">
        <f t="shared" si="68"/>
        <v/>
      </c>
      <c r="O76" s="14" t="str">
        <f t="shared" si="69"/>
        <v/>
      </c>
      <c r="P76" s="14" t="str">
        <f t="shared" si="70"/>
        <v/>
      </c>
      <c r="Q76" s="14" t="str">
        <f t="shared" si="71"/>
        <v>ﾓﾆﾀ</v>
      </c>
      <c r="R76" s="14" t="str">
        <f t="shared" si="72"/>
        <v/>
      </c>
      <c r="S76" s="14" t="str">
        <f t="shared" si="73"/>
        <v/>
      </c>
      <c r="T76" s="14" t="str">
        <f t="shared" si="74"/>
        <v/>
      </c>
      <c r="U76" s="14" t="str">
        <f t="shared" si="75"/>
        <v/>
      </c>
      <c r="V76" s="14" t="str">
        <f t="shared" si="76"/>
        <v/>
      </c>
      <c r="W76" s="14" t="str">
        <f t="shared" si="77"/>
        <v>更新</v>
      </c>
      <c r="X76" s="34"/>
      <c r="Y76" t="str">
        <f t="shared" ca="1" si="80"/>
        <v/>
      </c>
      <c r="Z76" s="12" t="str">
        <f t="shared" si="81"/>
        <v>男</v>
      </c>
    </row>
    <row r="77" spans="1:34" ht="18.600000000000001" thickTop="1" x14ac:dyDescent="0.45"/>
    <row r="78" spans="1:34" ht="18" x14ac:dyDescent="0.45">
      <c r="A78"/>
      <c r="B78"/>
      <c r="C78"/>
      <c r="D78"/>
      <c r="E78"/>
      <c r="F78"/>
      <c r="G78"/>
      <c r="H78" s="1"/>
      <c r="I78" s="1"/>
      <c r="J78" s="28"/>
      <c r="K78"/>
      <c r="X78"/>
    </row>
    <row r="79" spans="1:34" ht="18" x14ac:dyDescent="0.45">
      <c r="A79"/>
      <c r="B79"/>
      <c r="C79"/>
      <c r="D79"/>
      <c r="E79"/>
      <c r="F79"/>
      <c r="G79"/>
      <c r="H79" s="1"/>
      <c r="I79" s="1"/>
      <c r="J79" s="28"/>
      <c r="K79"/>
      <c r="X79"/>
    </row>
    <row r="80" spans="1:34" ht="26.4" x14ac:dyDescent="0.45">
      <c r="A80" s="39" t="s">
        <v>175</v>
      </c>
      <c r="B80" s="40"/>
      <c r="AC80" s="1"/>
      <c r="AH80" s="28"/>
    </row>
    <row r="81" spans="1:34" ht="18" x14ac:dyDescent="0.45">
      <c r="A81" s="180" t="s">
        <v>0</v>
      </c>
      <c r="B81" s="181"/>
      <c r="C81" s="159"/>
      <c r="D81" s="160"/>
      <c r="E81" s="160"/>
      <c r="F81" s="160"/>
      <c r="G81" s="160"/>
      <c r="H81" s="160"/>
      <c r="I81" s="160"/>
      <c r="J81" s="160"/>
      <c r="K81" s="163"/>
      <c r="L81" s="163" t="s">
        <v>176</v>
      </c>
      <c r="M81" s="179" t="s">
        <v>177</v>
      </c>
      <c r="N81" s="179"/>
      <c r="O81" s="1"/>
      <c r="P81" s="1"/>
      <c r="Q81" s="38"/>
      <c r="R81" s="1"/>
      <c r="S81" s="1"/>
      <c r="T81" s="1"/>
      <c r="V81" s="1"/>
      <c r="X81"/>
      <c r="AA81" s="35"/>
      <c r="AC81" s="1"/>
      <c r="AH81" s="28"/>
    </row>
    <row r="82" spans="1:34" ht="18" x14ac:dyDescent="0.45">
      <c r="A82" s="179" t="s">
        <v>178</v>
      </c>
      <c r="B82" s="179"/>
      <c r="C82" s="158"/>
      <c r="D82" s="158"/>
      <c r="E82" s="158"/>
      <c r="F82" s="158"/>
      <c r="G82" s="158"/>
      <c r="H82" s="158"/>
      <c r="I82" s="158"/>
      <c r="J82" s="158"/>
      <c r="K82" s="158"/>
      <c r="L82" s="157" t="s">
        <v>179</v>
      </c>
      <c r="M82" s="178">
        <v>45080</v>
      </c>
      <c r="N82" s="178"/>
      <c r="O82" s="1"/>
      <c r="P82" s="1"/>
      <c r="Q82" s="38"/>
      <c r="R82" s="1"/>
      <c r="S82" s="1"/>
      <c r="T82" s="1"/>
      <c r="V82" s="1"/>
      <c r="X82"/>
      <c r="AA82" s="35"/>
      <c r="AC82" s="1"/>
      <c r="AH82" s="28"/>
    </row>
    <row r="83" spans="1:34" ht="18" x14ac:dyDescent="0.45">
      <c r="A83" s="179" t="s">
        <v>180</v>
      </c>
      <c r="B83" s="179"/>
      <c r="C83" s="158"/>
      <c r="D83" s="158"/>
      <c r="E83" s="158"/>
      <c r="F83" s="158"/>
      <c r="G83" s="158"/>
      <c r="H83" s="158"/>
      <c r="I83" s="158"/>
      <c r="J83" s="158"/>
      <c r="K83" s="158"/>
      <c r="L83" s="157" t="s">
        <v>181</v>
      </c>
      <c r="M83" s="178">
        <v>45125</v>
      </c>
      <c r="N83" s="178"/>
      <c r="O83" s="1"/>
      <c r="P83" s="1"/>
      <c r="Q83" s="38"/>
      <c r="R83" s="1"/>
      <c r="S83" s="1"/>
      <c r="T83" s="1"/>
      <c r="V83" s="1"/>
      <c r="X83"/>
      <c r="AA83" s="35"/>
      <c r="AC83" s="1"/>
      <c r="AH83" s="28"/>
    </row>
    <row r="84" spans="1:34" ht="18" x14ac:dyDescent="0.45">
      <c r="A84" s="158">
        <v>101</v>
      </c>
      <c r="B84" s="4" t="s">
        <v>182</v>
      </c>
      <c r="C84" s="9">
        <v>13923</v>
      </c>
      <c r="D84" s="12" t="str">
        <f t="shared" ref="D84:D99" ca="1" si="97">IF(C84="","",DATEDIF(C84,TODAY(),"y")&amp;"歳")</f>
        <v>88歳</v>
      </c>
      <c r="E84" s="12" t="s">
        <v>11</v>
      </c>
      <c r="F84" s="12"/>
      <c r="G84" s="15">
        <v>45169</v>
      </c>
      <c r="H84" s="15">
        <v>43189</v>
      </c>
      <c r="I84" s="15"/>
      <c r="J84" s="6" t="s">
        <v>183</v>
      </c>
      <c r="K84" s="20" t="s">
        <v>184</v>
      </c>
      <c r="L84" s="157" t="s">
        <v>181</v>
      </c>
      <c r="M84" s="178">
        <v>45132</v>
      </c>
      <c r="N84" s="178"/>
      <c r="O84" s="1"/>
      <c r="P84" s="1"/>
      <c r="Q84" s="38"/>
      <c r="R84" s="1"/>
      <c r="S84" s="1"/>
      <c r="T84" s="1"/>
      <c r="V84" s="1"/>
      <c r="X84"/>
      <c r="AA84" s="35"/>
      <c r="AC84" s="1"/>
      <c r="AH84" s="28"/>
    </row>
    <row r="85" spans="1:34" ht="18" x14ac:dyDescent="0.45">
      <c r="A85" s="158">
        <v>107</v>
      </c>
      <c r="B85" s="4" t="s">
        <v>185</v>
      </c>
      <c r="C85" s="9">
        <v>11682</v>
      </c>
      <c r="D85" s="12" t="str">
        <f t="shared" ca="1" si="97"/>
        <v>94歳</v>
      </c>
      <c r="E85" s="12" t="s">
        <v>29</v>
      </c>
      <c r="F85" s="12"/>
      <c r="G85" s="15">
        <v>45412</v>
      </c>
      <c r="H85" s="15">
        <v>43949</v>
      </c>
      <c r="I85" s="15"/>
      <c r="J85" s="6" t="s">
        <v>186</v>
      </c>
      <c r="K85" s="20" t="s">
        <v>187</v>
      </c>
      <c r="L85" s="158" t="s">
        <v>179</v>
      </c>
      <c r="M85" s="178">
        <v>45140</v>
      </c>
      <c r="N85" s="178"/>
      <c r="O85" s="1"/>
      <c r="P85" s="1"/>
      <c r="Q85" s="38"/>
      <c r="R85" s="1"/>
      <c r="S85" s="1"/>
      <c r="T85" s="1"/>
      <c r="V85" s="1" t="s">
        <v>188</v>
      </c>
      <c r="X85"/>
      <c r="AA85" s="35"/>
      <c r="AC85" s="1"/>
      <c r="AH85" s="28"/>
    </row>
    <row r="86" spans="1:34" ht="18" x14ac:dyDescent="0.45">
      <c r="A86" s="158"/>
      <c r="B86" s="4" t="s">
        <v>189</v>
      </c>
      <c r="C86" s="41">
        <v>12712</v>
      </c>
      <c r="D86" s="12" t="str">
        <f t="shared" ca="1" si="97"/>
        <v>91歳</v>
      </c>
      <c r="E86" s="12" t="s">
        <v>11</v>
      </c>
      <c r="F86" s="12"/>
      <c r="G86" s="15">
        <v>45169</v>
      </c>
      <c r="H86" s="15">
        <v>45027</v>
      </c>
      <c r="I86" s="15"/>
      <c r="J86" s="6" t="s">
        <v>190</v>
      </c>
      <c r="K86" s="20">
        <v>9037935098</v>
      </c>
      <c r="L86" s="158" t="s">
        <v>181</v>
      </c>
      <c r="M86" s="178">
        <v>45140</v>
      </c>
      <c r="N86" s="178"/>
      <c r="O86" s="1"/>
      <c r="P86" s="1"/>
      <c r="Q86" s="38"/>
      <c r="R86" s="1"/>
      <c r="S86" s="1"/>
      <c r="T86" s="1"/>
      <c r="V86" s="1"/>
      <c r="X86"/>
      <c r="AA86" s="35"/>
      <c r="AC86" s="1"/>
      <c r="AH86" s="28"/>
    </row>
    <row r="87" spans="1:34" ht="18" x14ac:dyDescent="0.45">
      <c r="A87" s="158"/>
      <c r="B87" s="4" t="s">
        <v>191</v>
      </c>
      <c r="C87" s="9">
        <v>11612</v>
      </c>
      <c r="D87" s="12" t="str">
        <f t="shared" ca="1" si="97"/>
        <v>94歳</v>
      </c>
      <c r="E87" s="12" t="s">
        <v>29</v>
      </c>
      <c r="F87" s="12"/>
      <c r="G87" s="15">
        <v>46173</v>
      </c>
      <c r="H87" s="15"/>
      <c r="I87" s="15"/>
      <c r="J87" s="6" t="s">
        <v>192</v>
      </c>
      <c r="K87" s="20" t="s">
        <v>193</v>
      </c>
      <c r="L87" s="158" t="s">
        <v>181</v>
      </c>
      <c r="M87" s="178">
        <v>45148</v>
      </c>
      <c r="N87" s="178"/>
      <c r="O87" s="1"/>
      <c r="P87" s="1"/>
      <c r="Q87" s="38"/>
      <c r="R87" s="1"/>
      <c r="S87" s="1"/>
      <c r="T87" s="1"/>
      <c r="V87" s="1"/>
      <c r="X87"/>
      <c r="AA87" s="35"/>
      <c r="AC87" s="1"/>
      <c r="AH87" s="28"/>
    </row>
    <row r="88" spans="1:34" ht="18" x14ac:dyDescent="0.45">
      <c r="A88" s="158"/>
      <c r="B88" s="4" t="s">
        <v>194</v>
      </c>
      <c r="C88" s="9">
        <v>10981</v>
      </c>
      <c r="D88" s="12" t="str">
        <f t="shared" ca="1" si="97"/>
        <v>96歳</v>
      </c>
      <c r="E88" s="12" t="s">
        <v>11</v>
      </c>
      <c r="F88" s="12"/>
      <c r="G88" s="15">
        <v>46568</v>
      </c>
      <c r="H88" s="15">
        <v>45017</v>
      </c>
      <c r="I88" s="15"/>
      <c r="J88" s="6" t="s">
        <v>195</v>
      </c>
      <c r="K88" s="20" t="s">
        <v>196</v>
      </c>
      <c r="L88" s="158" t="s">
        <v>179</v>
      </c>
      <c r="M88" s="178">
        <v>45207</v>
      </c>
      <c r="N88" s="178"/>
      <c r="O88" s="1"/>
      <c r="P88" s="1"/>
      <c r="Q88" s="38"/>
      <c r="R88" s="1"/>
      <c r="S88" s="1"/>
      <c r="T88" s="1"/>
      <c r="V88" s="1"/>
      <c r="X88"/>
      <c r="AA88" s="35"/>
      <c r="AC88" s="1"/>
      <c r="AH88" s="28"/>
    </row>
    <row r="89" spans="1:34" ht="18" x14ac:dyDescent="0.45">
      <c r="A89" s="6"/>
      <c r="B89" s="4" t="s">
        <v>197</v>
      </c>
      <c r="C89" s="9">
        <v>10441</v>
      </c>
      <c r="D89" s="12" t="str">
        <f t="shared" ca="1" si="97"/>
        <v>97歳</v>
      </c>
      <c r="E89" s="12" t="s">
        <v>29</v>
      </c>
      <c r="F89" s="12"/>
      <c r="G89" s="15">
        <v>45930</v>
      </c>
      <c r="H89" s="15">
        <v>41950</v>
      </c>
      <c r="I89" s="15"/>
      <c r="J89" s="6" t="s">
        <v>198</v>
      </c>
      <c r="K89" s="20" t="s">
        <v>199</v>
      </c>
      <c r="L89" s="158" t="s">
        <v>179</v>
      </c>
      <c r="M89" s="178">
        <v>45256</v>
      </c>
      <c r="N89" s="178"/>
      <c r="O89" s="1"/>
      <c r="P89" s="1"/>
      <c r="Q89" s="38"/>
      <c r="R89" s="1"/>
      <c r="S89" s="1"/>
      <c r="T89" s="1"/>
      <c r="V89" s="1"/>
      <c r="X89"/>
      <c r="AA89" s="35"/>
      <c r="AC89" s="1"/>
      <c r="AH89" s="28"/>
    </row>
    <row r="90" spans="1:34" ht="18" x14ac:dyDescent="0.45">
      <c r="A90" s="6"/>
      <c r="B90" s="4" t="s">
        <v>200</v>
      </c>
      <c r="C90" s="9">
        <v>14874</v>
      </c>
      <c r="D90" s="12" t="str">
        <f t="shared" ca="1" si="97"/>
        <v>85歳</v>
      </c>
      <c r="E90" s="12" t="s">
        <v>29</v>
      </c>
      <c r="F90" s="12"/>
      <c r="G90" s="15">
        <v>45199</v>
      </c>
      <c r="H90" s="15">
        <v>44399</v>
      </c>
      <c r="I90" s="15"/>
      <c r="J90" s="6" t="s">
        <v>201</v>
      </c>
      <c r="K90" s="20">
        <v>9082903187</v>
      </c>
      <c r="L90" s="158" t="s">
        <v>179</v>
      </c>
      <c r="M90" s="178">
        <v>45261</v>
      </c>
      <c r="N90" s="178"/>
      <c r="O90" s="1"/>
      <c r="P90" s="1"/>
      <c r="Q90" s="38"/>
      <c r="R90" s="1"/>
      <c r="S90" s="1"/>
      <c r="T90" s="1"/>
      <c r="V90" s="1"/>
      <c r="X90"/>
      <c r="AA90" s="35"/>
      <c r="AC90" s="1"/>
      <c r="AH90" s="28"/>
    </row>
    <row r="91" spans="1:34" ht="18" x14ac:dyDescent="0.45">
      <c r="A91" s="6"/>
      <c r="B91" s="4" t="s">
        <v>202</v>
      </c>
      <c r="C91" s="9">
        <v>10382</v>
      </c>
      <c r="D91" s="12" t="str">
        <f t="shared" ca="1" si="97"/>
        <v>98歳</v>
      </c>
      <c r="E91" s="12" t="s">
        <v>29</v>
      </c>
      <c r="F91" s="12"/>
      <c r="G91" s="15">
        <v>46022</v>
      </c>
      <c r="H91" s="15">
        <v>45217</v>
      </c>
      <c r="I91" s="15"/>
      <c r="J91" s="6" t="s">
        <v>203</v>
      </c>
      <c r="K91" s="20">
        <v>9068627137</v>
      </c>
      <c r="L91" s="158" t="s">
        <v>179</v>
      </c>
      <c r="M91" s="178">
        <v>45304</v>
      </c>
      <c r="N91" s="178"/>
      <c r="O91" s="1"/>
      <c r="P91" s="1"/>
      <c r="Q91" s="38"/>
      <c r="R91" s="1"/>
      <c r="S91" s="1"/>
      <c r="T91" s="1"/>
      <c r="V91" s="1"/>
      <c r="X91"/>
      <c r="AA91" s="35"/>
      <c r="AC91" s="1"/>
      <c r="AH91" s="28"/>
    </row>
    <row r="92" spans="1:34" ht="18" x14ac:dyDescent="0.45">
      <c r="A92" s="6"/>
      <c r="B92" s="4" t="s">
        <v>204</v>
      </c>
      <c r="C92" s="9">
        <v>10970</v>
      </c>
      <c r="D92" s="12" t="str">
        <f t="shared" ca="1" si="97"/>
        <v>96歳</v>
      </c>
      <c r="E92" s="12" t="s">
        <v>11</v>
      </c>
      <c r="F92" s="12"/>
      <c r="G92" s="15">
        <v>46022</v>
      </c>
      <c r="H92" s="15">
        <v>42864</v>
      </c>
      <c r="I92" s="15"/>
      <c r="J92" s="6" t="s">
        <v>205</v>
      </c>
      <c r="K92" s="20" t="s">
        <v>206</v>
      </c>
      <c r="L92" s="158" t="s">
        <v>179</v>
      </c>
      <c r="M92" s="178">
        <v>45311</v>
      </c>
      <c r="N92" s="178"/>
      <c r="O92" s="1"/>
      <c r="P92" s="1"/>
      <c r="Q92" s="38"/>
      <c r="R92" s="1"/>
      <c r="S92" s="1"/>
      <c r="T92" s="1"/>
      <c r="V92" s="1"/>
      <c r="X92"/>
      <c r="AA92" s="35"/>
      <c r="AC92" s="1"/>
      <c r="AH92" s="28"/>
    </row>
    <row r="93" spans="1:34" ht="18" x14ac:dyDescent="0.45">
      <c r="A93" s="6"/>
      <c r="B93" s="4" t="s">
        <v>207</v>
      </c>
      <c r="C93" s="9">
        <v>8808</v>
      </c>
      <c r="D93" s="12" t="str">
        <f t="shared" ca="1" si="97"/>
        <v>102歳</v>
      </c>
      <c r="E93" s="12" t="s">
        <v>29</v>
      </c>
      <c r="F93" s="12"/>
      <c r="G93" s="15">
        <v>45077</v>
      </c>
      <c r="H93" s="15">
        <v>42082</v>
      </c>
      <c r="I93" s="15"/>
      <c r="J93" s="6" t="s">
        <v>208</v>
      </c>
      <c r="K93" s="20">
        <v>9034148188</v>
      </c>
      <c r="L93" s="158" t="s">
        <v>179</v>
      </c>
      <c r="M93" s="178">
        <v>45312</v>
      </c>
      <c r="N93" s="178"/>
      <c r="O93" s="1"/>
      <c r="P93" s="1"/>
      <c r="Q93" s="38"/>
      <c r="R93" s="1"/>
      <c r="S93" s="1"/>
      <c r="T93" s="1"/>
      <c r="V93" s="1"/>
      <c r="X93"/>
      <c r="AA93" s="35"/>
      <c r="AC93" s="1"/>
      <c r="AH93" s="28"/>
    </row>
    <row r="94" spans="1:34" ht="18" x14ac:dyDescent="0.45">
      <c r="A94" s="6"/>
      <c r="B94" s="4" t="s">
        <v>209</v>
      </c>
      <c r="C94" s="9">
        <v>10092</v>
      </c>
      <c r="D94" s="12" t="str">
        <f t="shared" ca="1" si="97"/>
        <v>98歳</v>
      </c>
      <c r="E94" s="12" t="s">
        <v>29</v>
      </c>
      <c r="F94" s="12"/>
      <c r="G94" s="15">
        <v>45382</v>
      </c>
      <c r="H94" s="15">
        <v>41772</v>
      </c>
      <c r="I94" s="15"/>
      <c r="J94" s="6" t="s">
        <v>210</v>
      </c>
      <c r="K94" s="20" t="s">
        <v>211</v>
      </c>
      <c r="L94" s="158" t="s">
        <v>179</v>
      </c>
      <c r="M94" s="178">
        <v>45338</v>
      </c>
      <c r="N94" s="179"/>
      <c r="O94" s="1"/>
      <c r="P94" s="1"/>
      <c r="Q94" s="38"/>
      <c r="R94" s="1"/>
      <c r="S94" s="1"/>
      <c r="T94" s="1"/>
      <c r="V94" s="1"/>
      <c r="X94"/>
      <c r="AA94" s="35"/>
      <c r="AC94" s="1"/>
      <c r="AH94" s="28"/>
    </row>
    <row r="95" spans="1:34" ht="18" x14ac:dyDescent="0.45">
      <c r="A95" s="6"/>
      <c r="B95" s="7" t="s">
        <v>212</v>
      </c>
      <c r="C95" s="10">
        <v>12303</v>
      </c>
      <c r="D95" s="13" t="str">
        <f t="shared" ca="1" si="97"/>
        <v>92歳</v>
      </c>
      <c r="E95" s="13" t="s">
        <v>29</v>
      </c>
      <c r="F95" s="13"/>
      <c r="G95" s="17">
        <v>45199</v>
      </c>
      <c r="H95" s="17">
        <v>44832</v>
      </c>
      <c r="I95" s="17"/>
      <c r="J95" s="18" t="s">
        <v>213</v>
      </c>
      <c r="K95" s="22">
        <v>9097845258</v>
      </c>
      <c r="L95" s="158" t="s">
        <v>179</v>
      </c>
      <c r="M95" s="178">
        <v>45351</v>
      </c>
      <c r="N95" s="179"/>
      <c r="O95" s="1"/>
      <c r="P95" s="1"/>
      <c r="Q95" s="38"/>
      <c r="R95" s="1"/>
      <c r="S95" s="1"/>
      <c r="T95" s="1"/>
      <c r="V95" s="1"/>
      <c r="X95"/>
      <c r="AA95" s="35"/>
      <c r="AC95" s="1"/>
      <c r="AH95" s="28"/>
    </row>
    <row r="96" spans="1:34" ht="18" x14ac:dyDescent="0.45">
      <c r="A96" s="158"/>
      <c r="B96" s="4" t="s">
        <v>214</v>
      </c>
      <c r="C96" s="9">
        <v>16081</v>
      </c>
      <c r="D96" s="12" t="str">
        <f t="shared" ca="1" si="97"/>
        <v>82歳</v>
      </c>
      <c r="E96" s="12" t="s">
        <v>11</v>
      </c>
      <c r="F96" s="12"/>
      <c r="G96" s="15">
        <v>45138</v>
      </c>
      <c r="H96" s="15">
        <v>43305</v>
      </c>
      <c r="I96" s="15"/>
      <c r="J96" s="6" t="s">
        <v>215</v>
      </c>
      <c r="K96" s="20">
        <v>7026688053</v>
      </c>
      <c r="L96" s="158" t="s">
        <v>181</v>
      </c>
      <c r="M96" s="178">
        <v>45376</v>
      </c>
      <c r="N96" s="179"/>
      <c r="O96" s="1"/>
      <c r="P96" s="1"/>
      <c r="Q96" s="38"/>
      <c r="R96" s="1"/>
      <c r="S96" s="1"/>
      <c r="T96" s="1"/>
      <c r="V96" s="1"/>
      <c r="X96"/>
      <c r="AA96" s="35"/>
      <c r="AC96" s="1"/>
      <c r="AH96" s="28"/>
    </row>
    <row r="97" spans="1:34" ht="18" x14ac:dyDescent="0.45">
      <c r="A97" s="158"/>
      <c r="B97" s="4" t="s">
        <v>216</v>
      </c>
      <c r="C97" s="9">
        <v>11049</v>
      </c>
      <c r="D97" s="12" t="str">
        <f t="shared" ca="1" si="97"/>
        <v>96歳</v>
      </c>
      <c r="E97" s="12" t="s">
        <v>29</v>
      </c>
      <c r="F97" s="12"/>
      <c r="G97" s="15">
        <v>45808</v>
      </c>
      <c r="H97" s="15">
        <v>43427</v>
      </c>
      <c r="I97" s="15"/>
      <c r="J97" s="6" t="s">
        <v>217</v>
      </c>
      <c r="K97" s="20">
        <v>9068560714</v>
      </c>
      <c r="L97" s="158" t="s">
        <v>179</v>
      </c>
      <c r="M97" s="178">
        <v>45376</v>
      </c>
      <c r="N97" s="179"/>
      <c r="O97" s="1"/>
      <c r="P97" s="1"/>
      <c r="Q97" s="38"/>
      <c r="R97" s="1"/>
      <c r="S97" s="1"/>
      <c r="T97" s="1"/>
      <c r="V97" s="1"/>
      <c r="X97"/>
      <c r="AA97" s="35"/>
      <c r="AC97" s="1"/>
      <c r="AH97" s="28"/>
    </row>
    <row r="98" spans="1:34" ht="18" x14ac:dyDescent="0.45">
      <c r="A98" s="6"/>
      <c r="B98" s="44" t="s">
        <v>218</v>
      </c>
      <c r="C98" s="9">
        <v>9194</v>
      </c>
      <c r="D98" s="12" t="str">
        <f t="shared" ca="1" si="97"/>
        <v>101歳</v>
      </c>
      <c r="E98" s="12" t="s">
        <v>29</v>
      </c>
      <c r="F98" s="12"/>
      <c r="G98" s="15">
        <v>45199</v>
      </c>
      <c r="H98" s="15">
        <v>43406</v>
      </c>
      <c r="I98" s="15"/>
      <c r="J98" s="6" t="s">
        <v>219</v>
      </c>
      <c r="K98" s="20">
        <v>8017036898</v>
      </c>
      <c r="L98" s="158" t="s">
        <v>179</v>
      </c>
      <c r="M98" s="178">
        <v>45414</v>
      </c>
      <c r="N98" s="179"/>
      <c r="O98" s="1"/>
      <c r="P98" s="1"/>
      <c r="Q98" s="38"/>
      <c r="R98" s="1"/>
      <c r="S98" s="1"/>
      <c r="T98" s="1"/>
      <c r="V98" s="1"/>
      <c r="X98"/>
      <c r="AA98" s="35"/>
      <c r="AC98" s="1"/>
      <c r="AH98" s="28"/>
    </row>
    <row r="99" spans="1:34" ht="18" x14ac:dyDescent="0.45">
      <c r="A99" s="6"/>
      <c r="B99" s="7" t="s">
        <v>220</v>
      </c>
      <c r="C99" s="10">
        <v>12610</v>
      </c>
      <c r="D99" s="13" t="str">
        <f t="shared" ca="1" si="97"/>
        <v>91歳</v>
      </c>
      <c r="E99" s="12" t="s">
        <v>11</v>
      </c>
      <c r="F99" s="13"/>
      <c r="G99" s="17">
        <v>45991</v>
      </c>
      <c r="H99" s="17">
        <v>44866</v>
      </c>
      <c r="I99" s="17"/>
      <c r="J99" s="18" t="s">
        <v>221</v>
      </c>
      <c r="K99" s="22" t="s">
        <v>222</v>
      </c>
      <c r="L99" s="158" t="s">
        <v>181</v>
      </c>
      <c r="M99" s="178">
        <v>45473</v>
      </c>
      <c r="N99" s="179"/>
      <c r="O99" s="1"/>
      <c r="P99" s="1"/>
      <c r="Q99" s="38"/>
      <c r="R99" s="1"/>
      <c r="S99" s="1"/>
      <c r="T99" s="1"/>
      <c r="V99" s="1"/>
      <c r="X99"/>
      <c r="AA99" s="35"/>
    </row>
    <row r="100" spans="1:34" ht="18.600000000000001" thickBot="1" x14ac:dyDescent="0.5">
      <c r="A100" s="6"/>
      <c r="B100" s="8" t="s">
        <v>223</v>
      </c>
      <c r="C100" s="11">
        <v>8136</v>
      </c>
      <c r="D100" s="14" t="str">
        <f ca="1">IF(C100="","",DATEDIF(C100,TODAY(),"y")&amp;"歳")</f>
        <v>104歳</v>
      </c>
      <c r="E100" s="14" t="s">
        <v>29</v>
      </c>
      <c r="F100" s="14"/>
      <c r="G100" s="16">
        <v>45382</v>
      </c>
      <c r="H100" s="16">
        <v>44531</v>
      </c>
      <c r="I100" s="16"/>
      <c r="J100" s="19" t="s">
        <v>224</v>
      </c>
      <c r="K100" s="21">
        <v>9019427478</v>
      </c>
      <c r="L100" s="161" t="s">
        <v>179</v>
      </c>
      <c r="M100" s="182"/>
      <c r="N100" s="182"/>
    </row>
    <row r="101" spans="1:34" ht="18.600000000000001" thickTop="1" x14ac:dyDescent="0.45">
      <c r="A101" s="6"/>
      <c r="B101" s="43" t="s">
        <v>225</v>
      </c>
      <c r="C101" s="9">
        <v>13372</v>
      </c>
      <c r="D101" s="12" t="str">
        <f t="shared" ref="D101" ca="1" si="98">IF(C101="","",DATEDIF(C101,TODAY(),"y")&amp;"歳")</f>
        <v>89歳</v>
      </c>
      <c r="E101" s="12" t="s">
        <v>11</v>
      </c>
      <c r="F101" s="12"/>
      <c r="G101" s="15">
        <v>46053</v>
      </c>
      <c r="H101" s="15">
        <v>45177</v>
      </c>
      <c r="I101" s="15"/>
      <c r="J101" s="6" t="s">
        <v>226</v>
      </c>
      <c r="K101" s="22">
        <v>9019468103</v>
      </c>
      <c r="L101" s="162" t="s">
        <v>179</v>
      </c>
      <c r="M101" s="183">
        <v>45522</v>
      </c>
      <c r="N101" s="184"/>
    </row>
    <row r="102" spans="1:34" ht="18" x14ac:dyDescent="0.45">
      <c r="A102" s="6"/>
      <c r="B102" s="7" t="s">
        <v>227</v>
      </c>
      <c r="C102" s="10">
        <v>7020</v>
      </c>
      <c r="D102" s="13" t="str">
        <f ca="1">IF(C102="","",DATEDIF(C102,TODAY(),"y")&amp;"歳")</f>
        <v>107歳</v>
      </c>
      <c r="E102" s="13" t="s">
        <v>11</v>
      </c>
      <c r="F102" s="13"/>
      <c r="G102" s="17">
        <v>46630</v>
      </c>
      <c r="H102" s="17">
        <v>40452</v>
      </c>
      <c r="I102" s="17"/>
      <c r="J102" s="18" t="s">
        <v>228</v>
      </c>
      <c r="K102" s="22" t="s">
        <v>229</v>
      </c>
      <c r="L102" s="158" t="s">
        <v>230</v>
      </c>
      <c r="M102" s="178">
        <v>45535</v>
      </c>
      <c r="N102" s="179"/>
    </row>
    <row r="103" spans="1:34" ht="18" x14ac:dyDescent="0.45">
      <c r="A103" s="158"/>
      <c r="B103" s="4" t="s">
        <v>231</v>
      </c>
      <c r="C103" s="9">
        <v>12373</v>
      </c>
      <c r="D103" s="12" t="str">
        <f t="shared" ref="D103:D130" ca="1" si="99">IF(C103="","",DATEDIF(C103,TODAY(),"y")&amp;"歳")</f>
        <v>92歳</v>
      </c>
      <c r="E103" s="12" t="s">
        <v>11</v>
      </c>
      <c r="F103" s="12"/>
      <c r="G103" s="15">
        <v>45930</v>
      </c>
      <c r="H103" s="15">
        <v>44845</v>
      </c>
      <c r="I103" s="15"/>
      <c r="J103" s="6" t="s">
        <v>232</v>
      </c>
      <c r="K103" s="20" t="s">
        <v>233</v>
      </c>
      <c r="L103" s="158" t="s">
        <v>179</v>
      </c>
      <c r="M103" s="178">
        <v>45556</v>
      </c>
      <c r="N103" s="179"/>
    </row>
    <row r="104" spans="1:34" ht="18" x14ac:dyDescent="0.45">
      <c r="A104" s="158"/>
      <c r="B104" s="4" t="s">
        <v>234</v>
      </c>
      <c r="C104" s="9">
        <v>8348</v>
      </c>
      <c r="D104" s="12" t="str">
        <f t="shared" ca="1" si="99"/>
        <v>103歳</v>
      </c>
      <c r="E104" s="12" t="s">
        <v>29</v>
      </c>
      <c r="F104" s="12"/>
      <c r="G104" s="15">
        <v>46326</v>
      </c>
      <c r="H104" s="15">
        <v>40051</v>
      </c>
      <c r="I104" s="15"/>
      <c r="J104" s="6" t="s">
        <v>235</v>
      </c>
      <c r="K104" s="20" t="s">
        <v>236</v>
      </c>
      <c r="L104" s="158" t="s">
        <v>179</v>
      </c>
      <c r="M104" s="178">
        <v>45557</v>
      </c>
      <c r="N104" s="179"/>
    </row>
    <row r="105" spans="1:34" ht="18.600000000000001" thickBot="1" x14ac:dyDescent="0.5">
      <c r="A105" s="158"/>
      <c r="B105" s="8" t="s">
        <v>237</v>
      </c>
      <c r="C105" s="11">
        <v>7497</v>
      </c>
      <c r="D105" s="14" t="str">
        <f t="shared" ca="1" si="99"/>
        <v>105歳</v>
      </c>
      <c r="E105" s="14" t="s">
        <v>29</v>
      </c>
      <c r="F105" s="14"/>
      <c r="G105" s="16">
        <v>45138</v>
      </c>
      <c r="H105" s="16">
        <v>39820</v>
      </c>
      <c r="I105" s="16"/>
      <c r="J105" s="19" t="s">
        <v>238</v>
      </c>
      <c r="K105" s="21">
        <v>9019468712</v>
      </c>
      <c r="L105" s="158" t="s">
        <v>181</v>
      </c>
      <c r="M105" s="178">
        <v>45586</v>
      </c>
      <c r="N105" s="179"/>
    </row>
    <row r="106" spans="1:34" ht="18.600000000000001" thickTop="1" x14ac:dyDescent="0.45">
      <c r="A106" s="6"/>
      <c r="B106" s="43" t="s">
        <v>239</v>
      </c>
      <c r="C106" s="9">
        <v>12323</v>
      </c>
      <c r="D106" s="12" t="str">
        <f t="shared" ca="1" si="99"/>
        <v>92歳</v>
      </c>
      <c r="E106" s="12" t="s">
        <v>29</v>
      </c>
      <c r="F106" s="12"/>
      <c r="G106" s="15">
        <v>45626</v>
      </c>
      <c r="H106" s="15">
        <v>45496</v>
      </c>
      <c r="I106" s="15"/>
      <c r="J106" s="6" t="s">
        <v>240</v>
      </c>
      <c r="K106" s="20">
        <v>8064997246</v>
      </c>
      <c r="L106" s="158" t="s">
        <v>179</v>
      </c>
      <c r="M106" s="178">
        <v>45589</v>
      </c>
      <c r="N106" s="179"/>
    </row>
    <row r="107" spans="1:34" ht="18" x14ac:dyDescent="0.45">
      <c r="A107" s="158"/>
      <c r="B107" s="4" t="s">
        <v>241</v>
      </c>
      <c r="C107" s="9">
        <v>8350</v>
      </c>
      <c r="D107" s="12" t="str">
        <f t="shared" ca="1" si="99"/>
        <v>103歳</v>
      </c>
      <c r="E107" s="12" t="s">
        <v>29</v>
      </c>
      <c r="F107" s="12"/>
      <c r="G107" s="15">
        <v>45230</v>
      </c>
      <c r="H107" s="15">
        <v>43887</v>
      </c>
      <c r="I107" s="15"/>
      <c r="J107" s="6" t="s">
        <v>242</v>
      </c>
      <c r="K107" s="20">
        <v>7054011632</v>
      </c>
      <c r="L107" s="158" t="s">
        <v>179</v>
      </c>
      <c r="M107" s="178">
        <v>45590</v>
      </c>
      <c r="N107" s="179"/>
    </row>
    <row r="108" spans="1:34" ht="18" x14ac:dyDescent="0.45">
      <c r="A108" s="6"/>
      <c r="B108" s="4" t="s">
        <v>243</v>
      </c>
      <c r="C108" s="9">
        <v>9953</v>
      </c>
      <c r="D108" s="12" t="str">
        <f t="shared" ca="1" si="99"/>
        <v>99歳</v>
      </c>
      <c r="E108" s="12" t="s">
        <v>29</v>
      </c>
      <c r="F108" s="12"/>
      <c r="G108" s="15">
        <v>46507</v>
      </c>
      <c r="H108" s="15">
        <v>43125</v>
      </c>
      <c r="I108" s="15"/>
      <c r="J108" s="6" t="s">
        <v>244</v>
      </c>
      <c r="K108" s="20" t="s">
        <v>245</v>
      </c>
      <c r="L108" s="158" t="s">
        <v>179</v>
      </c>
      <c r="M108" s="178">
        <v>45620</v>
      </c>
      <c r="N108" s="179"/>
    </row>
    <row r="109" spans="1:34" ht="18.600000000000001" thickBot="1" x14ac:dyDescent="0.5">
      <c r="A109" s="6"/>
      <c r="B109" s="82" t="s">
        <v>246</v>
      </c>
      <c r="C109" s="83">
        <v>13229</v>
      </c>
      <c r="D109" s="84" t="str">
        <f t="shared" ca="1" si="99"/>
        <v>90歳</v>
      </c>
      <c r="E109" s="84" t="s">
        <v>29</v>
      </c>
      <c r="F109" s="84"/>
      <c r="G109" s="85">
        <v>46691</v>
      </c>
      <c r="H109" s="85">
        <v>42863</v>
      </c>
      <c r="I109" s="85"/>
      <c r="J109" s="86" t="s">
        <v>247</v>
      </c>
      <c r="K109" s="87">
        <v>8033714354</v>
      </c>
      <c r="L109" s="158" t="s">
        <v>179</v>
      </c>
      <c r="M109" s="178">
        <v>45629</v>
      </c>
      <c r="N109" s="179"/>
    </row>
    <row r="110" spans="1:34" ht="18.600000000000001" thickTop="1" x14ac:dyDescent="0.45">
      <c r="A110" s="6"/>
      <c r="B110" s="7" t="s">
        <v>248</v>
      </c>
      <c r="C110" s="10">
        <v>20078</v>
      </c>
      <c r="D110" s="13" t="str">
        <f t="shared" ca="1" si="99"/>
        <v>71歳</v>
      </c>
      <c r="E110" s="13" t="s">
        <v>29</v>
      </c>
      <c r="F110" s="13"/>
      <c r="G110" s="17">
        <v>46022</v>
      </c>
      <c r="H110" s="17">
        <v>45491</v>
      </c>
      <c r="I110" s="17"/>
      <c r="J110" s="18" t="s">
        <v>249</v>
      </c>
      <c r="K110" s="22">
        <v>9096497189</v>
      </c>
      <c r="L110" s="158" t="s">
        <v>181</v>
      </c>
      <c r="M110" s="178">
        <v>45719</v>
      </c>
      <c r="N110" s="179"/>
    </row>
    <row r="111" spans="1:34" ht="18.600000000000001" thickBot="1" x14ac:dyDescent="0.5">
      <c r="A111" s="6"/>
      <c r="B111" s="8" t="s">
        <v>250</v>
      </c>
      <c r="C111" s="11">
        <v>11607</v>
      </c>
      <c r="D111" s="14" t="str">
        <f t="shared" ca="1" si="99"/>
        <v>94歳</v>
      </c>
      <c r="E111" s="14" t="s">
        <v>11</v>
      </c>
      <c r="F111" s="14"/>
      <c r="G111" s="16">
        <v>45107</v>
      </c>
      <c r="H111" s="16">
        <v>44757</v>
      </c>
      <c r="I111" s="16"/>
      <c r="J111" s="19" t="s">
        <v>251</v>
      </c>
      <c r="K111" s="21" t="s">
        <v>252</v>
      </c>
      <c r="L111" s="158" t="s">
        <v>179</v>
      </c>
      <c r="M111" s="178">
        <v>45724</v>
      </c>
      <c r="N111" s="179"/>
    </row>
    <row r="112" spans="1:34" ht="18.600000000000001" thickTop="1" x14ac:dyDescent="0.45">
      <c r="A112" s="6"/>
      <c r="B112" s="44" t="s">
        <v>253</v>
      </c>
      <c r="C112" s="9">
        <v>10472</v>
      </c>
      <c r="D112" s="12" t="str">
        <f t="shared" ca="1" si="99"/>
        <v>97歳</v>
      </c>
      <c r="E112" s="12" t="s">
        <v>11</v>
      </c>
      <c r="F112" s="12"/>
      <c r="G112" s="15">
        <v>46660</v>
      </c>
      <c r="H112" s="15">
        <v>44720</v>
      </c>
      <c r="I112" s="15"/>
      <c r="J112" s="6" t="s">
        <v>254</v>
      </c>
      <c r="K112" s="20">
        <v>9097863589</v>
      </c>
      <c r="L112" s="158" t="s">
        <v>179</v>
      </c>
      <c r="M112" s="178">
        <v>45731</v>
      </c>
      <c r="N112" s="179"/>
    </row>
    <row r="113" spans="1:14" ht="18" x14ac:dyDescent="0.45">
      <c r="A113" s="6"/>
      <c r="B113" s="7" t="s">
        <v>255</v>
      </c>
      <c r="C113" s="10">
        <v>12687</v>
      </c>
      <c r="D113" s="13" t="str">
        <f t="shared" ca="1" si="99"/>
        <v>91歳</v>
      </c>
      <c r="E113" s="13" t="s">
        <v>29</v>
      </c>
      <c r="F113" s="13"/>
      <c r="G113" s="17">
        <v>47087</v>
      </c>
      <c r="H113" s="17">
        <v>44009</v>
      </c>
      <c r="I113" s="17"/>
      <c r="J113" s="18" t="s">
        <v>256</v>
      </c>
      <c r="K113" s="22" t="s">
        <v>257</v>
      </c>
      <c r="L113" s="158" t="s">
        <v>179</v>
      </c>
      <c r="M113" s="178">
        <v>45741</v>
      </c>
      <c r="N113" s="179"/>
    </row>
    <row r="114" spans="1:14" ht="18" x14ac:dyDescent="0.45">
      <c r="A114" s="6"/>
      <c r="B114" s="4" t="s">
        <v>258</v>
      </c>
      <c r="C114" s="9">
        <v>11971</v>
      </c>
      <c r="D114" s="12" t="str">
        <f t="shared" ca="1" si="99"/>
        <v>93歳</v>
      </c>
      <c r="E114" s="13" t="s">
        <v>11</v>
      </c>
      <c r="F114" s="13"/>
      <c r="G114" s="15">
        <v>45199</v>
      </c>
      <c r="H114" s="17">
        <v>44341</v>
      </c>
      <c r="I114" s="17"/>
      <c r="J114" s="6" t="s">
        <v>259</v>
      </c>
      <c r="K114" s="20">
        <v>9043478788</v>
      </c>
      <c r="L114" s="158" t="s">
        <v>179</v>
      </c>
      <c r="M114" s="178">
        <v>45742</v>
      </c>
      <c r="N114" s="179"/>
    </row>
    <row r="115" spans="1:14" ht="18.600000000000001" thickBot="1" x14ac:dyDescent="0.5">
      <c r="A115" s="6"/>
      <c r="B115" s="68" t="s">
        <v>260</v>
      </c>
      <c r="C115" s="11">
        <v>13604</v>
      </c>
      <c r="D115" s="14" t="str">
        <f t="shared" ca="1" si="99"/>
        <v>89歳</v>
      </c>
      <c r="E115" s="14" t="s">
        <v>29</v>
      </c>
      <c r="F115" s="14"/>
      <c r="G115" s="16">
        <v>46418</v>
      </c>
      <c r="H115" s="16">
        <v>45327</v>
      </c>
      <c r="I115" s="16"/>
      <c r="J115" s="19" t="s">
        <v>226</v>
      </c>
      <c r="K115" s="21">
        <v>9019468104</v>
      </c>
      <c r="L115" s="158" t="s">
        <v>181</v>
      </c>
      <c r="M115" s="185">
        <v>45784</v>
      </c>
      <c r="N115" s="186"/>
    </row>
    <row r="116" spans="1:14" ht="18.600000000000001" thickTop="1" x14ac:dyDescent="0.45">
      <c r="A116" s="6"/>
      <c r="B116" s="7" t="s">
        <v>261</v>
      </c>
      <c r="C116" s="10">
        <v>9072</v>
      </c>
      <c r="D116" s="13" t="str">
        <f t="shared" ca="1" si="99"/>
        <v>101歳</v>
      </c>
      <c r="E116" s="13" t="s">
        <v>29</v>
      </c>
      <c r="F116" s="13"/>
      <c r="G116" s="17">
        <v>45138</v>
      </c>
      <c r="H116" s="17">
        <v>43368</v>
      </c>
      <c r="I116" s="17"/>
      <c r="J116" s="18" t="s">
        <v>262</v>
      </c>
      <c r="K116" s="22">
        <v>8017331572</v>
      </c>
      <c r="L116" s="158" t="s">
        <v>179</v>
      </c>
      <c r="M116" s="178">
        <v>45797</v>
      </c>
      <c r="N116" s="179"/>
    </row>
    <row r="117" spans="1:14" ht="18.600000000000001" thickBot="1" x14ac:dyDescent="0.5">
      <c r="A117" s="6"/>
      <c r="B117" s="68" t="s">
        <v>263</v>
      </c>
      <c r="C117" s="11">
        <v>9832</v>
      </c>
      <c r="D117" s="13" t="str">
        <f t="shared" ca="1" si="99"/>
        <v>99歳</v>
      </c>
      <c r="E117" s="14" t="s">
        <v>11</v>
      </c>
      <c r="F117" s="14"/>
      <c r="G117" s="16">
        <v>46387</v>
      </c>
      <c r="H117" s="16">
        <v>45737</v>
      </c>
      <c r="I117" s="16"/>
      <c r="J117" s="19"/>
      <c r="K117" s="21"/>
      <c r="L117" s="158" t="s">
        <v>179</v>
      </c>
      <c r="M117" s="178">
        <v>45807</v>
      </c>
      <c r="N117" s="179"/>
    </row>
    <row r="118" spans="1:14" ht="18.600000000000001" thickTop="1" x14ac:dyDescent="0.45">
      <c r="A118" s="6"/>
      <c r="B118" s="43" t="s">
        <v>264</v>
      </c>
      <c r="C118" s="9">
        <v>16391</v>
      </c>
      <c r="D118" s="13" t="str">
        <f t="shared" ca="1" si="99"/>
        <v>81歳</v>
      </c>
      <c r="E118" s="13" t="s">
        <v>29</v>
      </c>
      <c r="F118" s="13"/>
      <c r="G118" s="15">
        <v>46081</v>
      </c>
      <c r="H118" s="17">
        <v>45698</v>
      </c>
      <c r="I118" s="17"/>
      <c r="J118" s="6" t="s">
        <v>265</v>
      </c>
      <c r="K118" s="22">
        <v>8033765281</v>
      </c>
      <c r="L118" s="158" t="s">
        <v>179</v>
      </c>
      <c r="M118" s="178">
        <v>45813</v>
      </c>
      <c r="N118" s="179"/>
    </row>
    <row r="119" spans="1:14" ht="18" x14ac:dyDescent="0.45">
      <c r="A119" s="6"/>
      <c r="B119" s="4" t="s">
        <v>266</v>
      </c>
      <c r="C119" s="41">
        <v>14319</v>
      </c>
      <c r="D119" s="12" t="str">
        <f t="shared" ca="1" si="99"/>
        <v>87歳</v>
      </c>
      <c r="E119" s="12" t="s">
        <v>11</v>
      </c>
      <c r="F119" s="12"/>
      <c r="G119" s="15">
        <v>46295</v>
      </c>
      <c r="H119" s="15">
        <v>45162</v>
      </c>
      <c r="I119" s="15"/>
      <c r="J119" s="6" t="s">
        <v>267</v>
      </c>
      <c r="K119" s="20" t="s">
        <v>268</v>
      </c>
      <c r="L119" s="158" t="s">
        <v>179</v>
      </c>
      <c r="M119" s="178">
        <v>45818</v>
      </c>
      <c r="N119" s="179"/>
    </row>
    <row r="120" spans="1:14" ht="18" x14ac:dyDescent="0.45">
      <c r="A120" s="6"/>
      <c r="B120" s="7" t="s">
        <v>269</v>
      </c>
      <c r="C120" s="10">
        <v>16993</v>
      </c>
      <c r="D120" s="13" t="str">
        <f t="shared" ca="1" si="99"/>
        <v>79歳</v>
      </c>
      <c r="E120" s="12" t="s">
        <v>11</v>
      </c>
      <c r="F120" s="13">
        <v>4</v>
      </c>
      <c r="G120" s="17">
        <v>45747</v>
      </c>
      <c r="H120" s="17">
        <v>45589</v>
      </c>
      <c r="I120" s="17"/>
      <c r="J120" s="18" t="s">
        <v>270</v>
      </c>
      <c r="K120" s="22">
        <v>8064944875</v>
      </c>
      <c r="L120" s="158" t="s">
        <v>181</v>
      </c>
      <c r="M120" s="178">
        <v>45825</v>
      </c>
      <c r="N120" s="179"/>
    </row>
    <row r="121" spans="1:14" ht="18" x14ac:dyDescent="0.45">
      <c r="A121" s="6"/>
      <c r="B121" s="4" t="s">
        <v>271</v>
      </c>
      <c r="C121" s="9">
        <v>10081</v>
      </c>
      <c r="D121" s="12" t="str">
        <f t="shared" ca="1" si="99"/>
        <v>98歳</v>
      </c>
      <c r="E121" s="12" t="s">
        <v>108</v>
      </c>
      <c r="F121" s="12">
        <v>4</v>
      </c>
      <c r="G121" s="15">
        <v>46265</v>
      </c>
      <c r="H121" s="15"/>
      <c r="I121" s="15"/>
      <c r="J121" s="6" t="s">
        <v>272</v>
      </c>
      <c r="K121" s="20">
        <v>9089169744</v>
      </c>
      <c r="L121" s="158" t="s">
        <v>181</v>
      </c>
      <c r="M121" s="178">
        <v>45843</v>
      </c>
      <c r="N121" s="179"/>
    </row>
    <row r="122" spans="1:14" ht="18" x14ac:dyDescent="0.45">
      <c r="A122" s="6"/>
      <c r="B122" s="43" t="s">
        <v>273</v>
      </c>
      <c r="C122" s="9">
        <v>12024</v>
      </c>
      <c r="D122" s="12" t="str">
        <f t="shared" ref="D122" ca="1" si="100">IF(C122="","",DATEDIF(C122,TODAY(),"y")&amp;"歳")</f>
        <v>93歳</v>
      </c>
      <c r="E122" s="12" t="s">
        <v>29</v>
      </c>
      <c r="F122" s="12">
        <v>3</v>
      </c>
      <c r="G122" s="15">
        <v>45900</v>
      </c>
      <c r="H122" s="15">
        <v>45313</v>
      </c>
      <c r="I122" s="15"/>
      <c r="J122" s="6" t="s">
        <v>274</v>
      </c>
      <c r="K122" s="20">
        <v>9052104094</v>
      </c>
      <c r="L122" s="158" t="s">
        <v>181</v>
      </c>
      <c r="M122" s="178">
        <v>45855</v>
      </c>
      <c r="N122" s="179"/>
    </row>
    <row r="123" spans="1:14" ht="18" x14ac:dyDescent="0.45">
      <c r="A123" s="6"/>
      <c r="B123" s="7" t="s">
        <v>275</v>
      </c>
      <c r="C123" s="10">
        <v>9081</v>
      </c>
      <c r="D123" s="13" t="str">
        <f t="shared" ca="1" si="99"/>
        <v>101歳</v>
      </c>
      <c r="E123" s="13" t="s">
        <v>11</v>
      </c>
      <c r="F123" s="13">
        <v>4</v>
      </c>
      <c r="G123" s="17">
        <v>45961</v>
      </c>
      <c r="H123" s="17">
        <v>45065</v>
      </c>
      <c r="I123" s="17"/>
      <c r="J123" s="18" t="s">
        <v>276</v>
      </c>
      <c r="K123" s="22">
        <v>9019480134</v>
      </c>
      <c r="L123" s="158" t="s">
        <v>179</v>
      </c>
      <c r="M123" s="178">
        <v>45857</v>
      </c>
      <c r="N123" s="179"/>
    </row>
    <row r="124" spans="1:14" ht="18.600000000000001" thickBot="1" x14ac:dyDescent="0.5">
      <c r="A124" s="6"/>
      <c r="B124" s="8" t="s">
        <v>277</v>
      </c>
      <c r="C124" s="11">
        <v>17568</v>
      </c>
      <c r="D124" s="14" t="str">
        <f t="shared" ca="1" si="99"/>
        <v>78歳</v>
      </c>
      <c r="E124" s="14" t="s">
        <v>29</v>
      </c>
      <c r="F124" s="14"/>
      <c r="G124" s="16">
        <v>45322</v>
      </c>
      <c r="H124" s="16">
        <v>44395</v>
      </c>
      <c r="I124" s="16"/>
      <c r="J124" s="19" t="s">
        <v>278</v>
      </c>
      <c r="K124" s="21">
        <v>7079299699</v>
      </c>
      <c r="L124" s="158" t="s">
        <v>179</v>
      </c>
      <c r="M124" s="178">
        <v>45860</v>
      </c>
      <c r="N124" s="179"/>
    </row>
    <row r="125" spans="1:14" ht="19.2" thickTop="1" thickBot="1" x14ac:dyDescent="0.5">
      <c r="A125" s="6"/>
      <c r="B125" s="8" t="s">
        <v>279</v>
      </c>
      <c r="C125" s="11">
        <v>11004</v>
      </c>
      <c r="D125" s="14" t="str">
        <f t="shared" ca="1" si="99"/>
        <v>96歳</v>
      </c>
      <c r="E125" s="14" t="s">
        <v>29</v>
      </c>
      <c r="F125" s="14"/>
      <c r="G125" s="16">
        <v>45260</v>
      </c>
      <c r="H125" s="16">
        <v>44876</v>
      </c>
      <c r="I125" s="16"/>
      <c r="J125" s="19" t="s">
        <v>280</v>
      </c>
      <c r="K125" s="21">
        <v>9049996309</v>
      </c>
      <c r="L125" s="158" t="s">
        <v>179</v>
      </c>
      <c r="M125" s="185">
        <v>45951</v>
      </c>
      <c r="N125" s="186"/>
    </row>
    <row r="126" spans="1:14" ht="19.2" thickTop="1" thickBot="1" x14ac:dyDescent="0.5">
      <c r="A126" s="6"/>
      <c r="B126" s="107" t="s">
        <v>281</v>
      </c>
      <c r="C126" s="11">
        <v>14015</v>
      </c>
      <c r="D126" s="14" t="str">
        <f t="shared" ca="1" si="99"/>
        <v>88歳</v>
      </c>
      <c r="E126" s="14" t="s">
        <v>11</v>
      </c>
      <c r="F126" s="14"/>
      <c r="G126" s="16">
        <v>45322</v>
      </c>
      <c r="H126" s="16">
        <v>45034</v>
      </c>
      <c r="I126" s="16"/>
      <c r="J126" s="19" t="s">
        <v>282</v>
      </c>
      <c r="K126" s="21">
        <v>9068696104</v>
      </c>
      <c r="L126" s="158" t="s">
        <v>179</v>
      </c>
      <c r="M126" s="178">
        <v>46037</v>
      </c>
      <c r="N126" s="179"/>
    </row>
    <row r="127" spans="1:14" ht="18.600000000000001" thickTop="1" x14ac:dyDescent="0.45">
      <c r="A127" s="6"/>
      <c r="B127" s="4" t="s">
        <v>283</v>
      </c>
      <c r="C127" s="9">
        <v>7022</v>
      </c>
      <c r="D127" s="12" t="str">
        <f t="shared" ca="1" si="99"/>
        <v>107歳</v>
      </c>
      <c r="E127" s="13" t="s">
        <v>29</v>
      </c>
      <c r="F127" s="13"/>
      <c r="G127" s="15">
        <v>45138</v>
      </c>
      <c r="H127" s="17">
        <v>43196</v>
      </c>
      <c r="I127" s="17"/>
      <c r="J127" s="6" t="s">
        <v>284</v>
      </c>
      <c r="K127" s="20">
        <v>9037951318</v>
      </c>
      <c r="L127" s="158" t="s">
        <v>181</v>
      </c>
      <c r="M127" s="178">
        <v>46038</v>
      </c>
      <c r="N127" s="179"/>
    </row>
    <row r="128" spans="1:14" ht="18.600000000000001" thickBot="1" x14ac:dyDescent="0.5">
      <c r="A128" s="6"/>
      <c r="B128" s="68" t="s">
        <v>285</v>
      </c>
      <c r="C128" s="11">
        <v>12368</v>
      </c>
      <c r="D128" s="14" t="str">
        <f t="shared" ca="1" si="99"/>
        <v>92歳</v>
      </c>
      <c r="E128" s="14" t="s">
        <v>29</v>
      </c>
      <c r="F128" s="14">
        <v>3</v>
      </c>
      <c r="G128" s="16">
        <v>46873</v>
      </c>
      <c r="H128" s="16">
        <v>45931</v>
      </c>
      <c r="I128" s="16" t="s">
        <v>41</v>
      </c>
      <c r="J128" s="19"/>
      <c r="K128" s="21"/>
      <c r="L128" s="158" t="s">
        <v>179</v>
      </c>
      <c r="M128" s="178">
        <v>46050</v>
      </c>
      <c r="N128" s="179"/>
    </row>
    <row r="129" spans="1:14" ht="18.600000000000001" thickTop="1" x14ac:dyDescent="0.45">
      <c r="A129" s="6"/>
      <c r="B129" s="4" t="s">
        <v>286</v>
      </c>
      <c r="C129" s="9">
        <v>13795</v>
      </c>
      <c r="D129" s="12" t="str">
        <f t="shared" ca="1" si="99"/>
        <v>88歳</v>
      </c>
      <c r="E129" s="12" t="s">
        <v>29</v>
      </c>
      <c r="F129" s="12">
        <v>5</v>
      </c>
      <c r="G129" s="15">
        <v>46538</v>
      </c>
      <c r="H129" s="15">
        <v>42712</v>
      </c>
      <c r="I129" s="15" t="s">
        <v>41</v>
      </c>
      <c r="J129" s="6" t="s">
        <v>287</v>
      </c>
      <c r="K129" s="20" t="s">
        <v>288</v>
      </c>
      <c r="L129" s="158" t="s">
        <v>181</v>
      </c>
      <c r="M129" s="185">
        <v>46065</v>
      </c>
      <c r="N129" s="186"/>
    </row>
    <row r="130" spans="1:14" ht="18.600000000000001" thickBot="1" x14ac:dyDescent="0.5">
      <c r="A130" s="6"/>
      <c r="B130" s="8" t="s">
        <v>289</v>
      </c>
      <c r="C130" s="101">
        <v>10561</v>
      </c>
      <c r="D130" s="102" t="str">
        <f t="shared" ca="1" si="99"/>
        <v>97歳</v>
      </c>
      <c r="E130" s="14" t="s">
        <v>29</v>
      </c>
      <c r="F130" s="14">
        <v>4</v>
      </c>
      <c r="G130" s="103">
        <v>46599</v>
      </c>
      <c r="H130" s="103">
        <v>45035</v>
      </c>
      <c r="I130" s="103" t="s">
        <v>47</v>
      </c>
      <c r="J130" s="104" t="s">
        <v>290</v>
      </c>
      <c r="K130" s="105">
        <v>9019494124</v>
      </c>
      <c r="L130" s="158" t="s">
        <v>179</v>
      </c>
      <c r="M130" s="178">
        <v>46082</v>
      </c>
      <c r="N130" s="179"/>
    </row>
    <row r="131" spans="1:14" ht="19.2" thickTop="1" thickBot="1" x14ac:dyDescent="0.5">
      <c r="A131" s="6"/>
      <c r="B131" s="107" t="s">
        <v>291</v>
      </c>
      <c r="C131" s="11">
        <v>13622</v>
      </c>
      <c r="D131" s="14" t="str">
        <f ca="1">IF(C131="","",DATEDIF(C131,TODAY(),"y")&amp;"歳")</f>
        <v>89歳</v>
      </c>
      <c r="E131" s="14" t="s">
        <v>29</v>
      </c>
      <c r="F131" s="14"/>
      <c r="G131" s="16">
        <v>46112</v>
      </c>
      <c r="H131" s="16">
        <v>45139</v>
      </c>
      <c r="I131" s="16"/>
      <c r="J131" s="19" t="s">
        <v>292</v>
      </c>
      <c r="K131" s="21" t="s">
        <v>293</v>
      </c>
      <c r="L131" s="158" t="s">
        <v>181</v>
      </c>
      <c r="M131" s="178">
        <v>46087</v>
      </c>
      <c r="N131" s="179"/>
    </row>
    <row r="132" spans="1:14" ht="19.2" thickTop="1" thickBot="1" x14ac:dyDescent="0.5">
      <c r="A132" s="6"/>
      <c r="B132" s="8" t="s">
        <v>294</v>
      </c>
      <c r="C132" s="11">
        <v>16356</v>
      </c>
      <c r="D132" s="14" t="str">
        <f ca="1">IF(C132="","",DATEDIF(C132,TODAY(),"y")&amp;"歳")</f>
        <v>81歳</v>
      </c>
      <c r="E132" s="14" t="s">
        <v>11</v>
      </c>
      <c r="F132" s="14">
        <v>4</v>
      </c>
      <c r="G132" s="16">
        <v>45930</v>
      </c>
      <c r="H132" s="16">
        <v>45281</v>
      </c>
      <c r="I132" s="16" t="s">
        <v>41</v>
      </c>
      <c r="J132" s="19" t="s">
        <v>295</v>
      </c>
      <c r="K132" s="21" t="s">
        <v>296</v>
      </c>
      <c r="L132" s="158" t="s">
        <v>297</v>
      </c>
      <c r="M132" s="178">
        <v>46098</v>
      </c>
      <c r="N132" s="179"/>
    </row>
    <row r="133" spans="1:14" ht="18.600000000000001" thickTop="1" x14ac:dyDescent="0.45">
      <c r="A133" s="6"/>
      <c r="B133" s="4" t="s">
        <v>298</v>
      </c>
      <c r="C133" s="9">
        <v>11974</v>
      </c>
      <c r="D133" s="12" t="str">
        <f t="shared" ref="D133:D135" ca="1" si="101">IF(C133="","",DATEDIF(C133,TODAY(),"y")&amp;"歳")</f>
        <v>93歳</v>
      </c>
      <c r="E133" s="12" t="s">
        <v>29</v>
      </c>
      <c r="F133" s="12"/>
      <c r="G133" s="15">
        <v>45138</v>
      </c>
      <c r="H133" s="15">
        <v>42354</v>
      </c>
      <c r="I133" s="15"/>
      <c r="J133" s="6" t="s">
        <v>299</v>
      </c>
      <c r="K133" s="20">
        <v>9082928603</v>
      </c>
      <c r="L133" s="158" t="s">
        <v>181</v>
      </c>
      <c r="M133" s="178">
        <v>46107</v>
      </c>
      <c r="N133" s="179"/>
    </row>
    <row r="134" spans="1:14" ht="18.600000000000001" thickBot="1" x14ac:dyDescent="0.5">
      <c r="A134" s="6"/>
      <c r="B134" s="68" t="s">
        <v>300</v>
      </c>
      <c r="C134" s="11">
        <v>12633</v>
      </c>
      <c r="D134" s="14" t="str">
        <f t="shared" ca="1" si="101"/>
        <v>91歳</v>
      </c>
      <c r="E134" s="14" t="s">
        <v>29</v>
      </c>
      <c r="F134" s="14">
        <v>4</v>
      </c>
      <c r="G134" s="16">
        <v>46568</v>
      </c>
      <c r="H134" s="16">
        <v>45420</v>
      </c>
      <c r="I134" s="16" t="s">
        <v>14</v>
      </c>
      <c r="J134" s="19" t="s">
        <v>301</v>
      </c>
      <c r="K134" s="21">
        <v>9068646618</v>
      </c>
      <c r="L134" s="158" t="s">
        <v>297</v>
      </c>
      <c r="M134" s="178">
        <v>46118</v>
      </c>
      <c r="N134" s="179"/>
    </row>
    <row r="135" spans="1:14" ht="18.600000000000001" thickTop="1" x14ac:dyDescent="0.45">
      <c r="A135" s="6"/>
      <c r="B135" s="7" t="s">
        <v>302</v>
      </c>
      <c r="C135" s="10">
        <v>9060</v>
      </c>
      <c r="D135" s="13" t="str">
        <f t="shared" ca="1" si="101"/>
        <v>101歳</v>
      </c>
      <c r="E135" s="13" t="s">
        <v>29</v>
      </c>
      <c r="F135" s="13">
        <v>4</v>
      </c>
      <c r="G135" s="17">
        <v>46691</v>
      </c>
      <c r="H135" s="17">
        <v>41591</v>
      </c>
      <c r="I135" s="17" t="s">
        <v>41</v>
      </c>
      <c r="J135" s="18" t="s">
        <v>303</v>
      </c>
      <c r="K135" s="22" t="s">
        <v>122</v>
      </c>
      <c r="L135" s="158" t="s">
        <v>181</v>
      </c>
      <c r="M135" s="178">
        <v>46135</v>
      </c>
      <c r="N135" s="179"/>
    </row>
    <row r="136" spans="1:14" ht="18" x14ac:dyDescent="0.45">
      <c r="A136" s="6"/>
      <c r="B136" s="6"/>
      <c r="C136" s="158"/>
      <c r="D136" s="158"/>
      <c r="E136" s="158"/>
      <c r="F136" s="158"/>
      <c r="G136" s="158"/>
      <c r="H136" s="158"/>
      <c r="I136" s="158"/>
      <c r="J136" s="158"/>
      <c r="K136" s="158"/>
      <c r="L136" s="158"/>
      <c r="M136" s="179"/>
      <c r="N136" s="179"/>
    </row>
    <row r="137" spans="1:14" ht="18" x14ac:dyDescent="0.45">
      <c r="A137" s="6"/>
      <c r="B137" s="6"/>
      <c r="C137" s="158"/>
      <c r="D137" s="158"/>
      <c r="E137" s="158"/>
      <c r="F137" s="158"/>
      <c r="G137" s="158"/>
      <c r="H137" s="158"/>
      <c r="I137" s="158"/>
      <c r="J137" s="158"/>
      <c r="K137" s="158"/>
      <c r="L137" s="158"/>
      <c r="M137" s="179"/>
      <c r="N137" s="179"/>
    </row>
    <row r="138" spans="1:14" ht="18" x14ac:dyDescent="0.45">
      <c r="A138" s="6"/>
      <c r="B138" s="6"/>
      <c r="C138" s="158"/>
      <c r="D138" s="158"/>
      <c r="E138" s="158"/>
      <c r="F138" s="158"/>
      <c r="G138" s="158"/>
      <c r="H138" s="158"/>
      <c r="I138" s="158"/>
      <c r="J138" s="158"/>
      <c r="K138" s="158"/>
      <c r="L138" s="158"/>
      <c r="M138" s="179"/>
      <c r="N138" s="179"/>
    </row>
    <row r="139" spans="1:14" ht="18" x14ac:dyDescent="0.45">
      <c r="A139" s="6"/>
      <c r="B139" s="6"/>
      <c r="C139" s="158"/>
      <c r="D139" s="158"/>
      <c r="E139" s="158"/>
      <c r="F139" s="158"/>
      <c r="G139" s="158"/>
      <c r="H139" s="158"/>
      <c r="I139" s="158"/>
      <c r="J139" s="158"/>
      <c r="K139" s="158"/>
      <c r="L139" s="158"/>
      <c r="M139" s="179"/>
      <c r="N139" s="179"/>
    </row>
    <row r="140" spans="1:14" ht="18" x14ac:dyDescent="0.45">
      <c r="A140" s="6"/>
      <c r="B140" s="6"/>
      <c r="C140" s="158"/>
      <c r="D140" s="158"/>
      <c r="E140" s="158"/>
      <c r="F140" s="158"/>
      <c r="G140" s="158"/>
      <c r="H140" s="158"/>
      <c r="I140" s="158"/>
      <c r="J140" s="158"/>
      <c r="K140" s="158"/>
      <c r="L140" s="158"/>
      <c r="M140" s="179"/>
      <c r="N140" s="179"/>
    </row>
    <row r="141" spans="1:14" ht="18" x14ac:dyDescent="0.45">
      <c r="A141" s="6"/>
      <c r="B141" s="6"/>
      <c r="C141" s="158"/>
      <c r="D141" s="158"/>
      <c r="E141" s="158"/>
      <c r="F141" s="158"/>
      <c r="G141" s="158"/>
      <c r="H141" s="158"/>
      <c r="I141" s="158"/>
      <c r="J141" s="158"/>
      <c r="K141" s="158"/>
      <c r="L141" s="158"/>
      <c r="M141" s="179"/>
      <c r="N141" s="179"/>
    </row>
    <row r="142" spans="1:14" ht="18" x14ac:dyDescent="0.45">
      <c r="A142" s="6"/>
      <c r="B142" s="6"/>
      <c r="C142" s="158"/>
      <c r="D142" s="158"/>
      <c r="E142" s="158"/>
      <c r="F142" s="158"/>
      <c r="G142" s="158"/>
      <c r="H142" s="158"/>
      <c r="I142" s="158"/>
      <c r="J142" s="158"/>
      <c r="K142" s="158"/>
      <c r="L142" s="158"/>
      <c r="M142" s="179"/>
      <c r="N142" s="179"/>
    </row>
    <row r="143" spans="1:14" ht="18" x14ac:dyDescent="0.45">
      <c r="A143" s="6"/>
      <c r="B143" s="6"/>
      <c r="C143" s="158"/>
      <c r="D143" s="158"/>
      <c r="E143" s="158"/>
      <c r="F143" s="158"/>
      <c r="G143" s="158"/>
      <c r="H143" s="158"/>
      <c r="I143" s="158"/>
      <c r="J143" s="158"/>
      <c r="K143" s="158"/>
      <c r="L143" s="158"/>
      <c r="M143" s="179"/>
      <c r="N143" s="179"/>
    </row>
    <row r="144" spans="1:14" ht="18" x14ac:dyDescent="0.45">
      <c r="A144" s="6"/>
      <c r="B144" s="6"/>
      <c r="C144" s="158"/>
      <c r="D144" s="158"/>
      <c r="E144" s="158"/>
      <c r="F144" s="158"/>
      <c r="G144" s="158"/>
      <c r="H144" s="158"/>
      <c r="I144" s="158"/>
      <c r="J144" s="158"/>
      <c r="K144" s="158"/>
      <c r="L144" s="158"/>
      <c r="M144" s="179"/>
      <c r="N144" s="179"/>
    </row>
    <row r="145" spans="1:14" ht="18" x14ac:dyDescent="0.45">
      <c r="A145" s="6"/>
      <c r="B145" s="6"/>
      <c r="C145" s="158"/>
      <c r="D145" s="158"/>
      <c r="E145" s="158"/>
      <c r="F145" s="158"/>
      <c r="G145" s="158"/>
      <c r="H145" s="158"/>
      <c r="I145" s="158"/>
      <c r="J145" s="158"/>
      <c r="K145" s="158"/>
      <c r="L145" s="158"/>
      <c r="M145" s="179"/>
      <c r="N145" s="179"/>
    </row>
    <row r="146" spans="1:14" ht="18" x14ac:dyDescent="0.45">
      <c r="A146" s="6"/>
      <c r="B146" s="6"/>
      <c r="C146" s="158"/>
      <c r="D146" s="158"/>
      <c r="E146" s="158"/>
      <c r="F146" s="158"/>
      <c r="G146" s="158"/>
      <c r="H146" s="158"/>
      <c r="I146" s="158"/>
      <c r="J146" s="158"/>
      <c r="K146" s="158"/>
      <c r="L146" s="158"/>
      <c r="M146" s="179"/>
      <c r="N146" s="179"/>
    </row>
    <row r="147" spans="1:14" ht="18" x14ac:dyDescent="0.45">
      <c r="A147" s="6"/>
      <c r="B147" s="6"/>
      <c r="C147" s="158"/>
      <c r="D147" s="158"/>
      <c r="E147" s="158"/>
      <c r="F147" s="158"/>
      <c r="G147" s="158"/>
      <c r="H147" s="158"/>
      <c r="I147" s="158"/>
      <c r="J147" s="158"/>
      <c r="K147" s="158"/>
      <c r="L147" s="158"/>
      <c r="M147" s="179"/>
      <c r="N147" s="179"/>
    </row>
    <row r="148" spans="1:14" ht="18" x14ac:dyDescent="0.45">
      <c r="A148" s="6"/>
      <c r="B148" s="6"/>
      <c r="C148" s="158"/>
      <c r="D148" s="158"/>
      <c r="E148" s="158"/>
      <c r="F148" s="158"/>
      <c r="G148" s="158"/>
      <c r="H148" s="158"/>
      <c r="I148" s="158"/>
      <c r="J148" s="158"/>
      <c r="K148" s="158"/>
      <c r="L148" s="158"/>
      <c r="M148" s="179"/>
      <c r="N148" s="179"/>
    </row>
    <row r="149" spans="1:14" ht="18" x14ac:dyDescent="0.45">
      <c r="A149" s="6"/>
      <c r="B149" s="6"/>
      <c r="C149" s="158"/>
      <c r="D149" s="158"/>
      <c r="E149" s="158"/>
      <c r="F149" s="158"/>
      <c r="G149" s="158"/>
      <c r="H149" s="158"/>
      <c r="I149" s="158"/>
      <c r="J149" s="158"/>
      <c r="K149" s="158"/>
      <c r="L149" s="158"/>
      <c r="M149" s="179"/>
      <c r="N149" s="179"/>
    </row>
    <row r="150" spans="1:14" ht="18" x14ac:dyDescent="0.45">
      <c r="A150" s="6"/>
      <c r="B150" s="6"/>
      <c r="C150" s="158"/>
      <c r="D150" s="158"/>
      <c r="E150" s="158"/>
      <c r="F150" s="158"/>
      <c r="G150" s="158"/>
      <c r="H150" s="158"/>
      <c r="I150" s="158"/>
      <c r="J150" s="158"/>
      <c r="K150" s="158"/>
      <c r="L150" s="158"/>
      <c r="M150" s="179"/>
      <c r="N150" s="179"/>
    </row>
    <row r="151" spans="1:14" ht="18" x14ac:dyDescent="0.45">
      <c r="A151" s="6"/>
      <c r="B151" s="6"/>
      <c r="C151" s="158"/>
      <c r="D151" s="158"/>
      <c r="E151" s="158"/>
      <c r="F151" s="158"/>
      <c r="G151" s="158"/>
      <c r="H151" s="158"/>
      <c r="I151" s="158"/>
      <c r="J151" s="158"/>
      <c r="K151" s="158"/>
      <c r="L151" s="158"/>
      <c r="M151" s="179"/>
      <c r="N151" s="179"/>
    </row>
    <row r="152" spans="1:14" ht="18" x14ac:dyDescent="0.45">
      <c r="A152" s="6"/>
      <c r="B152" s="6"/>
      <c r="C152" s="158"/>
      <c r="D152" s="158"/>
      <c r="E152" s="158"/>
      <c r="F152" s="158"/>
      <c r="G152" s="158"/>
      <c r="H152" s="158"/>
      <c r="I152" s="158"/>
      <c r="J152" s="158"/>
      <c r="K152" s="158"/>
      <c r="L152" s="158"/>
      <c r="M152" s="179"/>
      <c r="N152" s="179"/>
    </row>
    <row r="153" spans="1:14" ht="18" x14ac:dyDescent="0.45">
      <c r="A153" s="6"/>
      <c r="B153" s="6"/>
      <c r="C153" s="158"/>
      <c r="D153" s="158"/>
      <c r="E153" s="158"/>
      <c r="F153" s="158"/>
      <c r="G153" s="158"/>
      <c r="H153" s="158"/>
      <c r="I153" s="158"/>
      <c r="J153" s="158"/>
      <c r="K153" s="158"/>
      <c r="L153" s="158"/>
      <c r="M153" s="179"/>
      <c r="N153" s="179"/>
    </row>
    <row r="154" spans="1:14" ht="18" x14ac:dyDescent="0.45">
      <c r="A154" s="6"/>
      <c r="B154" s="6"/>
      <c r="C154" s="158"/>
      <c r="D154" s="158"/>
      <c r="E154" s="158"/>
      <c r="F154" s="158"/>
      <c r="G154" s="158"/>
      <c r="H154" s="158"/>
      <c r="I154" s="158"/>
      <c r="J154" s="158"/>
      <c r="K154" s="158"/>
      <c r="L154" s="158"/>
      <c r="M154" s="179"/>
      <c r="N154" s="179"/>
    </row>
    <row r="155" spans="1:14" ht="18" x14ac:dyDescent="0.45">
      <c r="A155" s="6"/>
      <c r="B155" s="6"/>
      <c r="C155" s="158"/>
      <c r="D155" s="158"/>
      <c r="E155" s="158"/>
      <c r="F155" s="158"/>
      <c r="G155" s="158"/>
      <c r="H155" s="158"/>
      <c r="I155" s="158"/>
      <c r="J155" s="158"/>
      <c r="K155" s="158"/>
      <c r="L155" s="158"/>
      <c r="M155" s="179"/>
      <c r="N155" s="179"/>
    </row>
    <row r="156" spans="1:14" ht="18" x14ac:dyDescent="0.45">
      <c r="A156" s="6"/>
      <c r="B156" s="6"/>
      <c r="C156" s="158"/>
      <c r="D156" s="158"/>
      <c r="E156" s="158"/>
      <c r="F156" s="158"/>
      <c r="G156" s="158"/>
      <c r="H156" s="158"/>
      <c r="I156" s="158"/>
      <c r="J156" s="158"/>
      <c r="K156" s="158"/>
      <c r="L156" s="158"/>
      <c r="M156" s="179"/>
      <c r="N156" s="179"/>
    </row>
    <row r="157" spans="1:14" ht="18" x14ac:dyDescent="0.45">
      <c r="A157" s="6"/>
      <c r="B157" s="6"/>
      <c r="C157" s="158"/>
      <c r="D157" s="158"/>
      <c r="E157" s="158"/>
      <c r="F157" s="158"/>
      <c r="G157" s="158"/>
      <c r="H157" s="158"/>
      <c r="I157" s="158"/>
      <c r="J157" s="158"/>
      <c r="K157" s="158"/>
      <c r="L157" s="158"/>
      <c r="M157" s="179"/>
      <c r="N157" s="179"/>
    </row>
    <row r="158" spans="1:14" ht="18" x14ac:dyDescent="0.45">
      <c r="A158" s="6"/>
      <c r="B158" s="6"/>
      <c r="C158" s="158"/>
      <c r="D158" s="158"/>
      <c r="E158" s="158"/>
      <c r="F158" s="158"/>
      <c r="G158" s="158"/>
      <c r="H158" s="158"/>
      <c r="I158" s="158"/>
      <c r="J158" s="158"/>
      <c r="K158" s="158"/>
      <c r="L158" s="158"/>
      <c r="M158" s="179"/>
      <c r="N158" s="179"/>
    </row>
    <row r="159" spans="1:14" ht="18" x14ac:dyDescent="0.45">
      <c r="A159" s="6"/>
      <c r="B159" s="6"/>
      <c r="C159" s="158"/>
      <c r="D159" s="158"/>
      <c r="E159" s="158"/>
      <c r="F159" s="158"/>
      <c r="G159" s="158"/>
      <c r="H159" s="158"/>
      <c r="I159" s="158"/>
      <c r="J159" s="158"/>
      <c r="K159" s="158"/>
      <c r="L159" s="158"/>
      <c r="M159" s="179"/>
      <c r="N159" s="179"/>
    </row>
    <row r="160" spans="1:14" ht="18" x14ac:dyDescent="0.45">
      <c r="A160" s="6"/>
      <c r="B160" s="6"/>
      <c r="C160" s="158"/>
      <c r="D160" s="158"/>
      <c r="E160" s="158"/>
      <c r="F160" s="158"/>
      <c r="G160" s="158"/>
      <c r="H160" s="158"/>
      <c r="I160" s="158"/>
      <c r="J160" s="158"/>
      <c r="K160" s="158"/>
      <c r="L160" s="158"/>
      <c r="M160" s="179"/>
      <c r="N160" s="179"/>
    </row>
    <row r="161" spans="1:14" ht="18" x14ac:dyDescent="0.45">
      <c r="A161" s="6"/>
      <c r="B161" s="6"/>
      <c r="C161" s="158"/>
      <c r="D161" s="158"/>
      <c r="E161" s="158"/>
      <c r="F161" s="158"/>
      <c r="G161" s="158"/>
      <c r="H161" s="158"/>
      <c r="I161" s="158"/>
      <c r="J161" s="158"/>
      <c r="K161" s="158"/>
      <c r="L161" s="158"/>
      <c r="M161" s="179"/>
      <c r="N161" s="179"/>
    </row>
    <row r="162" spans="1:14" ht="18" x14ac:dyDescent="0.45">
      <c r="A162" s="6"/>
      <c r="B162" s="6"/>
      <c r="C162" s="158"/>
      <c r="D162" s="158"/>
      <c r="E162" s="158"/>
      <c r="F162" s="158"/>
      <c r="G162" s="158"/>
      <c r="H162" s="158"/>
      <c r="I162" s="158"/>
      <c r="J162" s="158"/>
      <c r="K162" s="158"/>
      <c r="L162" s="158"/>
      <c r="M162" s="179"/>
      <c r="N162" s="179"/>
    </row>
    <row r="163" spans="1:14" ht="18" x14ac:dyDescent="0.45">
      <c r="A163" s="6"/>
      <c r="B163" s="6"/>
      <c r="C163" s="158"/>
      <c r="D163" s="158"/>
      <c r="E163" s="158"/>
      <c r="F163" s="158"/>
      <c r="G163" s="158"/>
      <c r="H163" s="158"/>
      <c r="I163" s="158"/>
      <c r="J163" s="158"/>
      <c r="K163" s="158"/>
      <c r="L163" s="158"/>
      <c r="M163" s="179"/>
      <c r="N163" s="179"/>
    </row>
    <row r="164" spans="1:14" ht="18" x14ac:dyDescent="0.45">
      <c r="A164" s="6"/>
      <c r="B164" s="6"/>
      <c r="C164" s="158"/>
      <c r="D164" s="158"/>
      <c r="E164" s="158"/>
      <c r="F164" s="158"/>
      <c r="G164" s="158"/>
      <c r="H164" s="158"/>
      <c r="I164" s="158"/>
      <c r="J164" s="158"/>
      <c r="K164" s="158"/>
      <c r="L164" s="158"/>
      <c r="M164" s="179"/>
      <c r="N164" s="179"/>
    </row>
    <row r="165" spans="1:14" ht="18" x14ac:dyDescent="0.45">
      <c r="A165" s="6"/>
      <c r="B165" s="6"/>
      <c r="C165" s="158"/>
      <c r="D165" s="158"/>
      <c r="E165" s="158"/>
      <c r="F165" s="158"/>
      <c r="G165" s="158"/>
      <c r="H165" s="158"/>
      <c r="I165" s="158"/>
      <c r="J165" s="158"/>
      <c r="K165" s="158"/>
      <c r="L165" s="158"/>
      <c r="M165" s="179"/>
      <c r="N165" s="179"/>
    </row>
    <row r="166" spans="1:14" ht="18" x14ac:dyDescent="0.45">
      <c r="A166" s="6"/>
      <c r="B166" s="6"/>
      <c r="C166" s="158"/>
      <c r="D166" s="158"/>
      <c r="E166" s="158"/>
      <c r="F166" s="158"/>
      <c r="G166" s="158"/>
      <c r="H166" s="158"/>
      <c r="I166" s="158"/>
      <c r="J166" s="158"/>
      <c r="K166" s="158"/>
      <c r="L166" s="158"/>
      <c r="M166" s="179"/>
      <c r="N166" s="179"/>
    </row>
    <row r="167" spans="1:14" ht="18" x14ac:dyDescent="0.45">
      <c r="A167" s="6"/>
      <c r="B167" s="6"/>
      <c r="C167" s="158"/>
      <c r="D167" s="158"/>
      <c r="E167" s="158"/>
      <c r="F167" s="158"/>
      <c r="G167" s="158"/>
      <c r="H167" s="158"/>
      <c r="I167" s="158"/>
      <c r="J167" s="158"/>
      <c r="K167" s="158"/>
      <c r="L167" s="158"/>
      <c r="M167" s="179"/>
      <c r="N167" s="179"/>
    </row>
    <row r="168" spans="1:14" ht="18" x14ac:dyDescent="0.45">
      <c r="A168" s="6"/>
      <c r="B168" s="6"/>
      <c r="C168" s="158"/>
      <c r="D168" s="158"/>
      <c r="E168" s="158"/>
      <c r="F168" s="158"/>
      <c r="G168" s="158"/>
      <c r="H168" s="158"/>
      <c r="I168" s="158"/>
      <c r="J168" s="158"/>
      <c r="K168" s="158"/>
      <c r="L168" s="158"/>
      <c r="M168" s="179"/>
      <c r="N168" s="179"/>
    </row>
    <row r="169" spans="1:14" ht="18" x14ac:dyDescent="0.45">
      <c r="A169" s="6"/>
      <c r="B169" s="6"/>
      <c r="C169" s="158"/>
      <c r="D169" s="158"/>
      <c r="E169" s="158"/>
      <c r="F169" s="158"/>
      <c r="G169" s="158"/>
      <c r="H169" s="158"/>
      <c r="I169" s="158"/>
      <c r="J169" s="158"/>
      <c r="K169" s="158"/>
      <c r="L169" s="158"/>
      <c r="M169" s="179"/>
      <c r="N169" s="179"/>
    </row>
    <row r="170" spans="1:14" ht="18" x14ac:dyDescent="0.45">
      <c r="A170" s="6"/>
      <c r="B170" s="6"/>
      <c r="C170" s="158"/>
      <c r="D170" s="158"/>
      <c r="E170" s="158"/>
      <c r="F170" s="158"/>
      <c r="G170" s="158"/>
      <c r="H170" s="158"/>
      <c r="I170" s="158"/>
      <c r="J170" s="158"/>
      <c r="K170" s="158"/>
      <c r="L170" s="158"/>
      <c r="M170" s="179"/>
      <c r="N170" s="179"/>
    </row>
    <row r="171" spans="1:14" ht="18" x14ac:dyDescent="0.45">
      <c r="A171" s="6"/>
      <c r="B171" s="6"/>
      <c r="C171" s="158"/>
      <c r="D171" s="158"/>
      <c r="E171" s="158"/>
      <c r="F171" s="158"/>
      <c r="G171" s="158"/>
      <c r="H171" s="158"/>
      <c r="I171" s="158"/>
      <c r="J171" s="158"/>
      <c r="K171" s="158"/>
      <c r="L171" s="158"/>
      <c r="M171" s="179"/>
      <c r="N171" s="179"/>
    </row>
    <row r="172" spans="1:14" ht="18" x14ac:dyDescent="0.45">
      <c r="A172" s="6"/>
      <c r="B172" s="6"/>
      <c r="C172" s="158"/>
      <c r="D172" s="158"/>
      <c r="E172" s="158"/>
      <c r="F172" s="158"/>
      <c r="G172" s="158"/>
      <c r="H172" s="158"/>
      <c r="I172" s="158"/>
      <c r="J172" s="158"/>
      <c r="K172" s="158"/>
      <c r="L172" s="158"/>
      <c r="M172" s="179"/>
      <c r="N172" s="179"/>
    </row>
    <row r="173" spans="1:14" ht="18" x14ac:dyDescent="0.45">
      <c r="A173" s="6"/>
      <c r="B173" s="6"/>
      <c r="C173" s="158"/>
      <c r="D173" s="158"/>
      <c r="E173" s="158"/>
      <c r="F173" s="158"/>
      <c r="G173" s="158"/>
      <c r="H173" s="158"/>
      <c r="I173" s="158"/>
      <c r="J173" s="158"/>
      <c r="K173" s="158"/>
      <c r="L173" s="158"/>
      <c r="M173" s="179"/>
      <c r="N173" s="179"/>
    </row>
    <row r="174" spans="1:14" ht="18" x14ac:dyDescent="0.45">
      <c r="A174" s="6"/>
      <c r="B174" s="6"/>
      <c r="C174" s="158"/>
      <c r="D174" s="158"/>
      <c r="E174" s="158"/>
      <c r="F174" s="158"/>
      <c r="G174" s="158"/>
      <c r="H174" s="158"/>
      <c r="I174" s="158"/>
      <c r="J174" s="158"/>
      <c r="K174" s="158"/>
      <c r="L174" s="158"/>
      <c r="M174" s="179"/>
      <c r="N174" s="179"/>
    </row>
    <row r="175" spans="1:14" ht="18" x14ac:dyDescent="0.45">
      <c r="A175" s="6"/>
      <c r="B175" s="6"/>
      <c r="C175" s="158"/>
      <c r="D175" s="158"/>
      <c r="E175" s="158"/>
      <c r="F175" s="158"/>
      <c r="G175" s="158"/>
      <c r="H175" s="158"/>
      <c r="I175" s="158"/>
      <c r="J175" s="158"/>
      <c r="K175" s="158"/>
      <c r="L175" s="158"/>
      <c r="M175" s="179"/>
      <c r="N175" s="179"/>
    </row>
    <row r="176" spans="1:14" ht="18" x14ac:dyDescent="0.45">
      <c r="A176" s="6"/>
      <c r="B176" s="6"/>
      <c r="C176" s="158"/>
      <c r="D176" s="158"/>
      <c r="E176" s="158"/>
      <c r="F176" s="158"/>
      <c r="G176" s="158"/>
      <c r="H176" s="158"/>
      <c r="I176" s="158"/>
      <c r="J176" s="158"/>
      <c r="K176" s="158"/>
      <c r="L176" s="158"/>
      <c r="M176" s="179"/>
      <c r="N176" s="179"/>
    </row>
    <row r="177" spans="1:14" ht="18" x14ac:dyDescent="0.45">
      <c r="A177" s="6"/>
      <c r="B177" s="6"/>
      <c r="C177" s="158"/>
      <c r="D177" s="158"/>
      <c r="E177" s="158"/>
      <c r="F177" s="158"/>
      <c r="G177" s="158"/>
      <c r="H177" s="158"/>
      <c r="I177" s="158"/>
      <c r="J177" s="158"/>
      <c r="K177" s="158"/>
      <c r="L177" s="158"/>
      <c r="M177" s="179"/>
      <c r="N177" s="179"/>
    </row>
    <row r="178" spans="1:14" ht="18" x14ac:dyDescent="0.45">
      <c r="A178" s="6"/>
      <c r="B178" s="6"/>
      <c r="C178" s="158"/>
      <c r="D178" s="158"/>
      <c r="E178" s="158"/>
      <c r="F178" s="158"/>
      <c r="G178" s="158"/>
      <c r="H178" s="158"/>
      <c r="I178" s="158"/>
      <c r="J178" s="158"/>
      <c r="K178" s="158"/>
      <c r="L178" s="158"/>
      <c r="M178" s="179"/>
      <c r="N178" s="179"/>
    </row>
    <row r="179" spans="1:14" ht="18" x14ac:dyDescent="0.45">
      <c r="A179" s="6"/>
      <c r="B179" s="6"/>
      <c r="C179" s="158"/>
      <c r="D179" s="158"/>
      <c r="E179" s="158"/>
      <c r="F179" s="158"/>
      <c r="G179" s="158"/>
      <c r="H179" s="158"/>
      <c r="I179" s="158"/>
      <c r="J179" s="158"/>
      <c r="K179" s="158"/>
      <c r="L179" s="158"/>
      <c r="M179" s="179"/>
      <c r="N179" s="179"/>
    </row>
    <row r="180" spans="1:14" ht="18" x14ac:dyDescent="0.45">
      <c r="A180" s="6"/>
      <c r="B180" s="6"/>
      <c r="C180" s="158"/>
      <c r="D180" s="158"/>
      <c r="E180" s="158"/>
      <c r="F180" s="158"/>
      <c r="G180" s="158"/>
      <c r="H180" s="158"/>
      <c r="I180" s="158"/>
      <c r="J180" s="158"/>
      <c r="K180" s="158"/>
      <c r="L180" s="158"/>
      <c r="M180" s="179"/>
      <c r="N180" s="179"/>
    </row>
    <row r="181" spans="1:14" ht="18" x14ac:dyDescent="0.45">
      <c r="A181" s="6"/>
      <c r="B181" s="6"/>
      <c r="C181" s="158"/>
      <c r="D181" s="158"/>
      <c r="E181" s="158"/>
      <c r="F181" s="158"/>
      <c r="G181" s="158"/>
      <c r="H181" s="158"/>
      <c r="I181" s="158"/>
      <c r="J181" s="158"/>
      <c r="K181" s="158"/>
      <c r="L181" s="158"/>
      <c r="M181" s="179"/>
      <c r="N181" s="179"/>
    </row>
    <row r="182" spans="1:14" ht="18" x14ac:dyDescent="0.45">
      <c r="A182" s="6"/>
      <c r="B182" s="6"/>
      <c r="C182" s="158"/>
      <c r="D182" s="158"/>
      <c r="E182" s="158"/>
      <c r="F182" s="158"/>
      <c r="G182" s="158"/>
      <c r="H182" s="158"/>
      <c r="I182" s="158"/>
      <c r="J182" s="158"/>
      <c r="K182" s="158"/>
      <c r="L182" s="158"/>
      <c r="M182" s="179"/>
      <c r="N182" s="179"/>
    </row>
    <row r="183" spans="1:14" ht="18" x14ac:dyDescent="0.45">
      <c r="A183" s="6"/>
      <c r="B183" s="6"/>
      <c r="C183" s="158"/>
      <c r="D183" s="158"/>
      <c r="E183" s="158"/>
      <c r="F183" s="158"/>
      <c r="G183" s="158"/>
      <c r="H183" s="158"/>
      <c r="I183" s="158"/>
      <c r="J183" s="158"/>
      <c r="K183" s="158"/>
      <c r="L183" s="158"/>
      <c r="M183" s="179"/>
      <c r="N183" s="179"/>
    </row>
    <row r="184" spans="1:14" ht="18" x14ac:dyDescent="0.45">
      <c r="A184" s="6"/>
      <c r="B184" s="6"/>
      <c r="C184" s="158"/>
      <c r="D184" s="158"/>
      <c r="E184" s="158"/>
      <c r="F184" s="158"/>
      <c r="G184" s="158"/>
      <c r="H184" s="158"/>
      <c r="I184" s="158"/>
      <c r="J184" s="158"/>
      <c r="K184" s="158"/>
      <c r="L184" s="158"/>
      <c r="M184" s="179"/>
      <c r="N184" s="179"/>
    </row>
    <row r="185" spans="1:14" ht="18" x14ac:dyDescent="0.45">
      <c r="A185" s="6"/>
      <c r="B185" s="6"/>
      <c r="C185" s="158"/>
      <c r="D185" s="158"/>
      <c r="E185" s="158"/>
      <c r="F185" s="158"/>
      <c r="G185" s="158"/>
      <c r="H185" s="158"/>
      <c r="I185" s="158"/>
      <c r="J185" s="158"/>
      <c r="K185" s="158"/>
      <c r="L185" s="158"/>
      <c r="M185" s="179"/>
      <c r="N185" s="179"/>
    </row>
    <row r="186" spans="1:14" ht="18" x14ac:dyDescent="0.45">
      <c r="A186" s="6"/>
      <c r="B186" s="6"/>
      <c r="C186" s="158"/>
      <c r="D186" s="158"/>
      <c r="E186" s="158"/>
      <c r="F186" s="158"/>
      <c r="G186" s="158"/>
      <c r="H186" s="158"/>
      <c r="I186" s="158"/>
      <c r="J186" s="158"/>
      <c r="K186" s="158"/>
      <c r="L186" s="158"/>
      <c r="M186" s="179"/>
      <c r="N186" s="179"/>
    </row>
    <row r="187" spans="1:14" ht="18" x14ac:dyDescent="0.45">
      <c r="A187" s="6"/>
      <c r="B187" s="6"/>
      <c r="C187" s="158"/>
      <c r="D187" s="158"/>
      <c r="E187" s="158"/>
      <c r="F187" s="158"/>
      <c r="G187" s="158"/>
      <c r="H187" s="158"/>
      <c r="I187" s="158"/>
      <c r="J187" s="158"/>
      <c r="K187" s="158"/>
      <c r="L187" s="158"/>
      <c r="M187" s="179"/>
      <c r="N187" s="179"/>
    </row>
    <row r="188" spans="1:14" ht="18" x14ac:dyDescent="0.45">
      <c r="A188" s="6"/>
      <c r="B188" s="6"/>
      <c r="C188" s="158"/>
      <c r="D188" s="158"/>
      <c r="E188" s="158"/>
      <c r="F188" s="158"/>
      <c r="G188" s="158"/>
      <c r="H188" s="158"/>
      <c r="I188" s="158"/>
      <c r="J188" s="158"/>
      <c r="K188" s="158"/>
      <c r="L188" s="158"/>
      <c r="M188" s="179"/>
      <c r="N188" s="179"/>
    </row>
    <row r="189" spans="1:14" ht="18" x14ac:dyDescent="0.45">
      <c r="A189" s="6"/>
      <c r="B189" s="6"/>
      <c r="C189" s="158"/>
      <c r="D189" s="158"/>
      <c r="E189" s="158"/>
      <c r="F189" s="158"/>
      <c r="G189" s="158"/>
      <c r="H189" s="158"/>
      <c r="I189" s="158"/>
      <c r="J189" s="158"/>
      <c r="K189" s="158"/>
      <c r="L189" s="158"/>
      <c r="M189" s="179"/>
      <c r="N189" s="179"/>
    </row>
    <row r="190" spans="1:14" ht="18" x14ac:dyDescent="0.45">
      <c r="A190" s="6"/>
      <c r="B190" s="6"/>
      <c r="C190" s="158"/>
      <c r="D190" s="158"/>
      <c r="E190" s="158"/>
      <c r="F190" s="158"/>
      <c r="G190" s="158"/>
      <c r="H190" s="158"/>
      <c r="I190" s="158"/>
      <c r="J190" s="158"/>
      <c r="K190" s="158"/>
      <c r="L190" s="158"/>
      <c r="M190" s="179"/>
      <c r="N190" s="179"/>
    </row>
    <row r="191" spans="1:14" ht="18" x14ac:dyDescent="0.45">
      <c r="A191" s="6"/>
      <c r="B191" s="6"/>
      <c r="C191" s="158"/>
      <c r="D191" s="158"/>
      <c r="E191" s="158"/>
      <c r="F191" s="158"/>
      <c r="G191" s="158"/>
      <c r="H191" s="158"/>
      <c r="I191" s="158"/>
      <c r="J191" s="158"/>
      <c r="K191" s="158"/>
      <c r="L191" s="158"/>
      <c r="M191" s="179"/>
      <c r="N191" s="179"/>
    </row>
    <row r="192" spans="1:14" ht="18" x14ac:dyDescent="0.45">
      <c r="A192" s="6"/>
      <c r="B192" s="6"/>
      <c r="C192" s="158"/>
      <c r="D192" s="158"/>
      <c r="E192" s="158"/>
      <c r="F192" s="158"/>
      <c r="G192" s="158"/>
      <c r="H192" s="158"/>
      <c r="I192" s="158"/>
      <c r="J192" s="158"/>
      <c r="K192" s="158"/>
      <c r="L192" s="158"/>
      <c r="M192" s="179"/>
      <c r="N192" s="179"/>
    </row>
    <row r="193" spans="1:14" ht="18" x14ac:dyDescent="0.45">
      <c r="A193" s="6"/>
      <c r="B193" s="6"/>
      <c r="C193" s="158"/>
      <c r="D193" s="158"/>
      <c r="E193" s="158"/>
      <c r="F193" s="158"/>
      <c r="G193" s="158"/>
      <c r="H193" s="158"/>
      <c r="I193" s="158"/>
      <c r="J193" s="158"/>
      <c r="K193" s="158"/>
      <c r="L193" s="158"/>
      <c r="M193" s="179"/>
      <c r="N193" s="179"/>
    </row>
    <row r="194" spans="1:14" ht="18" x14ac:dyDescent="0.45">
      <c r="A194" s="6"/>
      <c r="B194" s="6"/>
      <c r="C194" s="158"/>
      <c r="D194" s="158"/>
      <c r="E194" s="158"/>
      <c r="F194" s="158"/>
      <c r="G194" s="158"/>
      <c r="H194" s="158"/>
      <c r="I194" s="158"/>
      <c r="J194" s="158"/>
      <c r="K194" s="158"/>
      <c r="L194" s="158"/>
      <c r="M194" s="179"/>
      <c r="N194" s="179"/>
    </row>
    <row r="195" spans="1:14" ht="18" x14ac:dyDescent="0.45">
      <c r="A195" s="6"/>
      <c r="B195" s="6"/>
      <c r="C195" s="158"/>
      <c r="D195" s="158"/>
      <c r="E195" s="158"/>
      <c r="F195" s="158"/>
      <c r="G195" s="158"/>
      <c r="H195" s="158"/>
      <c r="I195" s="158"/>
      <c r="J195" s="158"/>
      <c r="K195" s="158"/>
      <c r="L195" s="158"/>
      <c r="M195" s="179"/>
      <c r="N195" s="179"/>
    </row>
    <row r="196" spans="1:14" ht="18" x14ac:dyDescent="0.45">
      <c r="A196" s="6"/>
      <c r="B196" s="6"/>
      <c r="C196" s="158"/>
      <c r="D196" s="158"/>
      <c r="E196" s="158"/>
      <c r="F196" s="158"/>
      <c r="G196" s="158"/>
      <c r="H196" s="158"/>
      <c r="I196" s="158"/>
      <c r="J196" s="158"/>
      <c r="K196" s="158"/>
      <c r="L196" s="158"/>
      <c r="M196" s="179"/>
      <c r="N196" s="179"/>
    </row>
    <row r="197" spans="1:14" ht="18" x14ac:dyDescent="0.45">
      <c r="A197" s="6"/>
      <c r="B197" s="6"/>
      <c r="C197" s="158"/>
      <c r="D197" s="158"/>
      <c r="E197" s="158"/>
      <c r="F197" s="158"/>
      <c r="G197" s="158"/>
      <c r="H197" s="158"/>
      <c r="I197" s="158"/>
      <c r="J197" s="158"/>
      <c r="K197" s="158"/>
      <c r="L197" s="158"/>
      <c r="M197" s="179"/>
      <c r="N197" s="179"/>
    </row>
    <row r="198" spans="1:14" ht="18" x14ac:dyDescent="0.45">
      <c r="A198" s="6"/>
      <c r="B198" s="6"/>
      <c r="C198" s="158"/>
      <c r="D198" s="158"/>
      <c r="E198" s="158"/>
      <c r="F198" s="158"/>
      <c r="G198" s="158"/>
      <c r="H198" s="158"/>
      <c r="I198" s="158"/>
      <c r="J198" s="158"/>
      <c r="K198" s="158"/>
      <c r="L198" s="158"/>
      <c r="M198" s="179"/>
      <c r="N198" s="179"/>
    </row>
    <row r="199" spans="1:14" ht="18" x14ac:dyDescent="0.45">
      <c r="A199" s="6"/>
      <c r="B199" s="6"/>
      <c r="C199" s="158"/>
      <c r="D199" s="158"/>
      <c r="E199" s="158"/>
      <c r="F199" s="158"/>
      <c r="G199" s="158"/>
      <c r="H199" s="158"/>
      <c r="I199" s="158"/>
      <c r="J199" s="158"/>
      <c r="K199" s="158"/>
      <c r="L199" s="158"/>
      <c r="M199" s="179"/>
      <c r="N199" s="179"/>
    </row>
    <row r="200" spans="1:14" ht="18" x14ac:dyDescent="0.45">
      <c r="A200" s="6"/>
      <c r="B200" s="6"/>
      <c r="C200" s="158"/>
      <c r="D200" s="158"/>
      <c r="E200" s="158"/>
      <c r="F200" s="158"/>
      <c r="G200" s="158"/>
      <c r="H200" s="158"/>
      <c r="I200" s="158"/>
      <c r="J200" s="158"/>
      <c r="K200" s="158"/>
      <c r="L200" s="158"/>
      <c r="M200" s="179"/>
      <c r="N200" s="179"/>
    </row>
    <row r="201" spans="1:14" ht="18" x14ac:dyDescent="0.45">
      <c r="A201" s="6"/>
      <c r="B201" s="6"/>
      <c r="C201" s="158"/>
      <c r="D201" s="158"/>
      <c r="E201" s="158"/>
      <c r="F201" s="158"/>
      <c r="G201" s="158"/>
      <c r="H201" s="158"/>
      <c r="I201" s="158"/>
      <c r="J201" s="158"/>
      <c r="K201" s="158"/>
      <c r="L201" s="158"/>
      <c r="M201" s="179"/>
      <c r="N201" s="179"/>
    </row>
    <row r="202" spans="1:14" ht="18" x14ac:dyDescent="0.45">
      <c r="A202" s="6"/>
      <c r="B202" s="6"/>
      <c r="C202" s="158"/>
      <c r="D202" s="158"/>
      <c r="E202" s="158"/>
      <c r="F202" s="158"/>
      <c r="G202" s="158"/>
      <c r="H202" s="158"/>
      <c r="I202" s="158"/>
      <c r="J202" s="158"/>
      <c r="K202" s="158"/>
      <c r="L202" s="158"/>
      <c r="M202" s="179"/>
      <c r="N202" s="179"/>
    </row>
    <row r="203" spans="1:14" ht="18" x14ac:dyDescent="0.45">
      <c r="A203" s="6"/>
      <c r="B203" s="6"/>
      <c r="C203" s="158"/>
      <c r="D203" s="158"/>
      <c r="E203" s="158"/>
      <c r="F203" s="158"/>
      <c r="G203" s="158"/>
      <c r="H203" s="158"/>
      <c r="I203" s="158"/>
      <c r="J203" s="158"/>
      <c r="K203" s="158"/>
      <c r="L203" s="158"/>
      <c r="M203" s="179"/>
      <c r="N203" s="179"/>
    </row>
    <row r="204" spans="1:14" ht="18" x14ac:dyDescent="0.45">
      <c r="A204" s="6"/>
      <c r="B204" s="6"/>
      <c r="C204" s="158"/>
      <c r="D204" s="158"/>
      <c r="E204" s="158"/>
      <c r="F204" s="158"/>
      <c r="G204" s="158"/>
      <c r="H204" s="158"/>
      <c r="I204" s="158"/>
      <c r="J204" s="158"/>
      <c r="K204" s="158"/>
      <c r="L204" s="158"/>
      <c r="M204" s="179"/>
      <c r="N204" s="179"/>
    </row>
    <row r="205" spans="1:14" ht="18" x14ac:dyDescent="0.45">
      <c r="A205" s="6"/>
      <c r="B205" s="6"/>
      <c r="C205" s="158"/>
      <c r="D205" s="158"/>
      <c r="E205" s="158"/>
      <c r="F205" s="158"/>
      <c r="G205" s="158"/>
      <c r="H205" s="158"/>
      <c r="I205" s="158"/>
      <c r="J205" s="158"/>
      <c r="K205" s="158"/>
      <c r="L205" s="158"/>
      <c r="M205" s="179"/>
      <c r="N205" s="179"/>
    </row>
    <row r="206" spans="1:14" ht="18" x14ac:dyDescent="0.45">
      <c r="A206" s="6"/>
      <c r="B206" s="6"/>
      <c r="C206" s="158"/>
      <c r="D206" s="158"/>
      <c r="E206" s="158"/>
      <c r="F206" s="158"/>
      <c r="G206" s="158"/>
      <c r="H206" s="158"/>
      <c r="I206" s="158"/>
      <c r="J206" s="158"/>
      <c r="K206" s="158"/>
      <c r="L206" s="158"/>
      <c r="M206" s="179"/>
      <c r="N206" s="179"/>
    </row>
    <row r="207" spans="1:14" ht="18" x14ac:dyDescent="0.45">
      <c r="A207" s="6"/>
      <c r="B207" s="6"/>
      <c r="C207" s="158"/>
      <c r="D207" s="158"/>
      <c r="E207" s="158"/>
      <c r="F207" s="158"/>
      <c r="G207" s="158"/>
      <c r="H207" s="158"/>
      <c r="I207" s="158"/>
      <c r="J207" s="158"/>
      <c r="K207" s="158"/>
      <c r="L207" s="158"/>
      <c r="M207" s="179"/>
      <c r="N207" s="179"/>
    </row>
    <row r="208" spans="1:14" ht="18" x14ac:dyDescent="0.45">
      <c r="A208" s="6"/>
      <c r="B208" s="6"/>
      <c r="C208" s="158"/>
      <c r="D208" s="158"/>
      <c r="E208" s="158"/>
      <c r="F208" s="158"/>
      <c r="G208" s="158"/>
      <c r="H208" s="158"/>
      <c r="I208" s="158"/>
      <c r="J208" s="158"/>
      <c r="K208" s="158"/>
      <c r="L208" s="158"/>
      <c r="M208" s="179"/>
      <c r="N208" s="179"/>
    </row>
    <row r="209" spans="1:14" ht="18" x14ac:dyDescent="0.45">
      <c r="A209" s="6"/>
      <c r="B209" s="6"/>
      <c r="C209" s="158"/>
      <c r="D209" s="158"/>
      <c r="E209" s="158"/>
      <c r="F209" s="158"/>
      <c r="G209" s="158"/>
      <c r="H209" s="158"/>
      <c r="I209" s="158"/>
      <c r="J209" s="158"/>
      <c r="K209" s="158"/>
      <c r="L209" s="158"/>
      <c r="M209" s="179"/>
      <c r="N209" s="179"/>
    </row>
    <row r="210" spans="1:14" ht="18" x14ac:dyDescent="0.45">
      <c r="A210" s="6"/>
      <c r="B210" s="6"/>
      <c r="C210" s="158"/>
      <c r="D210" s="158"/>
      <c r="E210" s="158"/>
      <c r="F210" s="158"/>
      <c r="G210" s="158"/>
      <c r="H210" s="158"/>
      <c r="I210" s="158"/>
      <c r="J210" s="158"/>
      <c r="K210" s="158"/>
      <c r="L210" s="158"/>
      <c r="M210" s="179"/>
      <c r="N210" s="179"/>
    </row>
    <row r="211" spans="1:14" ht="18" x14ac:dyDescent="0.45">
      <c r="A211" s="6"/>
      <c r="B211" s="6"/>
      <c r="C211" s="158"/>
      <c r="D211" s="158"/>
      <c r="E211" s="158"/>
      <c r="F211" s="158"/>
      <c r="G211" s="158"/>
      <c r="H211" s="158"/>
      <c r="I211" s="158"/>
      <c r="J211" s="158"/>
      <c r="K211" s="158"/>
      <c r="L211" s="158"/>
      <c r="M211" s="179"/>
      <c r="N211" s="179"/>
    </row>
    <row r="212" spans="1:14" ht="18" x14ac:dyDescent="0.45">
      <c r="A212" s="6"/>
      <c r="B212" s="6"/>
      <c r="C212" s="158"/>
      <c r="D212" s="158"/>
      <c r="E212" s="158"/>
      <c r="F212" s="158"/>
      <c r="G212" s="158"/>
      <c r="H212" s="158"/>
      <c r="I212" s="158"/>
      <c r="J212" s="158"/>
      <c r="K212" s="158"/>
      <c r="L212" s="158"/>
      <c r="M212" s="179"/>
      <c r="N212" s="179"/>
    </row>
    <row r="213" spans="1:14" ht="18" x14ac:dyDescent="0.45">
      <c r="A213" s="6"/>
      <c r="B213" s="6"/>
      <c r="C213" s="158"/>
      <c r="D213" s="158"/>
      <c r="E213" s="158"/>
      <c r="F213" s="158"/>
      <c r="G213" s="158"/>
      <c r="H213" s="158"/>
      <c r="I213" s="158"/>
      <c r="J213" s="158"/>
      <c r="K213" s="158"/>
      <c r="L213" s="158"/>
      <c r="M213" s="179"/>
      <c r="N213" s="179"/>
    </row>
    <row r="214" spans="1:14" ht="18" x14ac:dyDescent="0.45">
      <c r="A214" s="6"/>
      <c r="B214" s="6"/>
      <c r="C214" s="158"/>
      <c r="D214" s="158"/>
      <c r="E214" s="158"/>
      <c r="F214" s="158"/>
      <c r="G214" s="158"/>
      <c r="H214" s="158"/>
      <c r="I214" s="158"/>
      <c r="J214" s="158"/>
      <c r="K214" s="158"/>
      <c r="L214" s="158"/>
      <c r="M214" s="179"/>
      <c r="N214" s="179"/>
    </row>
    <row r="215" spans="1:14" ht="18" x14ac:dyDescent="0.45">
      <c r="A215" s="6"/>
      <c r="B215" s="6"/>
      <c r="C215" s="158"/>
      <c r="D215" s="158"/>
      <c r="E215" s="158"/>
      <c r="F215" s="158"/>
      <c r="G215" s="158"/>
      <c r="H215" s="158"/>
      <c r="I215" s="158"/>
      <c r="J215" s="158"/>
      <c r="K215" s="158"/>
      <c r="L215" s="158"/>
      <c r="M215" s="179"/>
      <c r="N215" s="179"/>
    </row>
    <row r="216" spans="1:14" ht="18" x14ac:dyDescent="0.45">
      <c r="A216" s="6"/>
      <c r="B216" s="6"/>
      <c r="C216" s="158"/>
      <c r="D216" s="158"/>
      <c r="E216" s="158"/>
      <c r="F216" s="158"/>
      <c r="G216" s="158"/>
      <c r="H216" s="158"/>
      <c r="I216" s="158"/>
      <c r="J216" s="158"/>
      <c r="K216" s="158"/>
      <c r="L216" s="158"/>
      <c r="M216" s="179"/>
      <c r="N216" s="179"/>
    </row>
    <row r="217" spans="1:14" ht="18" x14ac:dyDescent="0.45">
      <c r="A217" s="6"/>
      <c r="B217" s="6"/>
      <c r="C217" s="158"/>
      <c r="D217" s="158"/>
      <c r="E217" s="158"/>
      <c r="F217" s="158"/>
      <c r="G217" s="158"/>
      <c r="H217" s="158"/>
      <c r="I217" s="158"/>
      <c r="J217" s="158"/>
      <c r="K217" s="158"/>
      <c r="L217" s="158"/>
      <c r="M217" s="179"/>
      <c r="N217" s="179"/>
    </row>
    <row r="218" spans="1:14" ht="18" x14ac:dyDescent="0.45">
      <c r="A218" s="6"/>
      <c r="B218" s="6"/>
      <c r="C218" s="158"/>
      <c r="D218" s="158"/>
      <c r="E218" s="158"/>
      <c r="F218" s="158"/>
      <c r="G218" s="158"/>
      <c r="H218" s="158"/>
      <c r="I218" s="158"/>
      <c r="J218" s="158"/>
      <c r="K218" s="158"/>
      <c r="L218" s="158"/>
      <c r="M218" s="179"/>
      <c r="N218" s="179"/>
    </row>
    <row r="219" spans="1:14" ht="18" x14ac:dyDescent="0.45">
      <c r="A219" s="6"/>
      <c r="B219" s="6"/>
      <c r="C219" s="158"/>
      <c r="D219" s="158"/>
      <c r="E219" s="158"/>
      <c r="F219" s="158"/>
      <c r="G219" s="158"/>
      <c r="H219" s="158"/>
      <c r="I219" s="158"/>
      <c r="J219" s="158"/>
      <c r="K219" s="158"/>
      <c r="L219" s="158"/>
      <c r="M219" s="179"/>
      <c r="N219" s="179"/>
    </row>
    <row r="220" spans="1:14" ht="18" x14ac:dyDescent="0.45">
      <c r="A220" s="6"/>
      <c r="B220" s="6"/>
      <c r="C220" s="158"/>
      <c r="D220" s="158"/>
      <c r="E220" s="158"/>
      <c r="F220" s="158"/>
      <c r="G220" s="158"/>
      <c r="H220" s="158"/>
      <c r="I220" s="158"/>
      <c r="J220" s="158"/>
      <c r="K220" s="158"/>
      <c r="L220" s="158"/>
      <c r="M220" s="179"/>
      <c r="N220" s="179"/>
    </row>
    <row r="221" spans="1:14" ht="18" x14ac:dyDescent="0.45">
      <c r="A221" s="6"/>
      <c r="B221" s="6"/>
      <c r="C221" s="158"/>
      <c r="D221" s="158"/>
      <c r="E221" s="158"/>
      <c r="F221" s="158"/>
      <c r="G221" s="158"/>
      <c r="H221" s="158"/>
      <c r="I221" s="158"/>
      <c r="J221" s="158"/>
      <c r="K221" s="158"/>
      <c r="L221" s="158"/>
      <c r="M221" s="179"/>
      <c r="N221" s="179"/>
    </row>
    <row r="222" spans="1:14" ht="18" x14ac:dyDescent="0.45">
      <c r="A222" s="6"/>
      <c r="B222" s="6"/>
      <c r="C222" s="158"/>
      <c r="D222" s="158"/>
      <c r="E222" s="158"/>
      <c r="F222" s="158"/>
      <c r="G222" s="158"/>
      <c r="H222" s="158"/>
      <c r="I222" s="158"/>
      <c r="J222" s="158"/>
      <c r="K222" s="158"/>
      <c r="L222" s="158"/>
      <c r="M222" s="179"/>
      <c r="N222" s="179"/>
    </row>
    <row r="223" spans="1:14" ht="18" x14ac:dyDescent="0.45">
      <c r="A223" s="6"/>
      <c r="B223" s="6"/>
      <c r="C223" s="158"/>
      <c r="D223" s="158"/>
      <c r="E223" s="158"/>
      <c r="F223" s="158"/>
      <c r="G223" s="158"/>
      <c r="H223" s="158"/>
      <c r="I223" s="158"/>
      <c r="J223" s="158"/>
      <c r="K223" s="158"/>
      <c r="L223" s="158"/>
      <c r="M223" s="179"/>
      <c r="N223" s="179"/>
    </row>
    <row r="224" spans="1:14" ht="18" x14ac:dyDescent="0.45">
      <c r="A224" s="6"/>
      <c r="B224" s="6"/>
      <c r="C224" s="158"/>
      <c r="D224" s="158"/>
      <c r="E224" s="158"/>
      <c r="F224" s="158"/>
      <c r="G224" s="158"/>
      <c r="H224" s="158"/>
      <c r="I224" s="158"/>
      <c r="J224" s="158"/>
      <c r="K224" s="158"/>
      <c r="L224" s="158"/>
      <c r="M224" s="179"/>
      <c r="N224" s="179"/>
    </row>
    <row r="225" spans="1:14" ht="18" x14ac:dyDescent="0.45">
      <c r="A225" s="6"/>
      <c r="B225" s="6"/>
      <c r="C225" s="158"/>
      <c r="D225" s="158"/>
      <c r="E225" s="158"/>
      <c r="F225" s="158"/>
      <c r="G225" s="158"/>
      <c r="H225" s="158"/>
      <c r="I225" s="158"/>
      <c r="J225" s="158"/>
      <c r="K225" s="158"/>
      <c r="L225" s="158"/>
      <c r="M225" s="179"/>
      <c r="N225" s="179"/>
    </row>
    <row r="226" spans="1:14" ht="18" x14ac:dyDescent="0.45">
      <c r="A226" s="6"/>
      <c r="B226" s="6"/>
      <c r="C226" s="158"/>
      <c r="D226" s="158"/>
      <c r="E226" s="158"/>
      <c r="F226" s="158"/>
      <c r="G226" s="158"/>
      <c r="H226" s="158"/>
      <c r="I226" s="158"/>
      <c r="J226" s="158"/>
      <c r="K226" s="158"/>
      <c r="L226" s="158"/>
      <c r="M226" s="179"/>
      <c r="N226" s="179"/>
    </row>
    <row r="227" spans="1:14" ht="18" x14ac:dyDescent="0.45">
      <c r="A227" s="6"/>
      <c r="B227" s="6"/>
      <c r="C227" s="158"/>
      <c r="D227" s="158"/>
      <c r="E227" s="158"/>
      <c r="F227" s="158"/>
      <c r="G227" s="158"/>
      <c r="H227" s="158"/>
      <c r="I227" s="158"/>
      <c r="J227" s="158"/>
      <c r="K227" s="158"/>
      <c r="L227" s="158"/>
      <c r="M227" s="179"/>
      <c r="N227" s="179"/>
    </row>
    <row r="228" spans="1:14" ht="18" x14ac:dyDescent="0.45">
      <c r="A228" s="6"/>
      <c r="B228" s="6"/>
      <c r="C228" s="158"/>
      <c r="D228" s="158"/>
      <c r="E228" s="158"/>
      <c r="F228" s="158"/>
      <c r="G228" s="158"/>
      <c r="H228" s="158"/>
      <c r="I228" s="158"/>
      <c r="J228" s="158"/>
      <c r="K228" s="158"/>
      <c r="L228" s="158"/>
      <c r="M228" s="179"/>
      <c r="N228" s="179"/>
    </row>
    <row r="229" spans="1:14" ht="18" x14ac:dyDescent="0.45">
      <c r="A229" s="6"/>
      <c r="B229" s="6"/>
      <c r="C229" s="158"/>
      <c r="D229" s="158"/>
      <c r="E229" s="158"/>
      <c r="F229" s="158"/>
      <c r="G229" s="158"/>
      <c r="H229" s="158"/>
      <c r="I229" s="158"/>
      <c r="J229" s="158"/>
      <c r="K229" s="158"/>
      <c r="L229" s="158"/>
      <c r="M229" s="179"/>
      <c r="N229" s="179"/>
    </row>
    <row r="230" spans="1:14" ht="18" x14ac:dyDescent="0.45">
      <c r="A230" s="6"/>
      <c r="B230" s="6"/>
      <c r="C230" s="158"/>
      <c r="D230" s="158"/>
      <c r="E230" s="158"/>
      <c r="F230" s="158"/>
      <c r="G230" s="158"/>
      <c r="H230" s="158"/>
      <c r="I230" s="158"/>
      <c r="J230" s="158"/>
      <c r="K230" s="158"/>
      <c r="L230" s="158"/>
      <c r="M230" s="179"/>
      <c r="N230" s="179"/>
    </row>
    <row r="231" spans="1:14" ht="18" x14ac:dyDescent="0.45">
      <c r="A231" s="6"/>
      <c r="B231" s="6"/>
      <c r="C231" s="158"/>
      <c r="D231" s="158"/>
      <c r="E231" s="158"/>
      <c r="F231" s="158"/>
      <c r="G231" s="158"/>
      <c r="H231" s="158"/>
      <c r="I231" s="158"/>
      <c r="J231" s="158"/>
      <c r="K231" s="158"/>
      <c r="L231" s="158"/>
      <c r="M231" s="179"/>
      <c r="N231" s="179"/>
    </row>
    <row r="232" spans="1:14" ht="18" x14ac:dyDescent="0.45">
      <c r="A232" s="6"/>
      <c r="B232" s="6"/>
      <c r="C232" s="158"/>
      <c r="D232" s="158"/>
      <c r="E232" s="158"/>
      <c r="F232" s="158"/>
      <c r="G232" s="158"/>
      <c r="H232" s="158"/>
      <c r="I232" s="158"/>
      <c r="J232" s="158"/>
      <c r="K232" s="158"/>
      <c r="L232" s="158"/>
      <c r="M232" s="179"/>
      <c r="N232" s="179"/>
    </row>
    <row r="233" spans="1:14" ht="18" x14ac:dyDescent="0.45">
      <c r="A233" s="6"/>
      <c r="B233" s="6"/>
      <c r="C233" s="158"/>
      <c r="D233" s="158"/>
      <c r="E233" s="158"/>
      <c r="F233" s="158"/>
      <c r="G233" s="158"/>
      <c r="H233" s="158"/>
      <c r="I233" s="158"/>
      <c r="J233" s="158"/>
      <c r="K233" s="158"/>
      <c r="L233" s="158"/>
      <c r="M233" s="179"/>
      <c r="N233" s="179"/>
    </row>
    <row r="234" spans="1:14" ht="18" x14ac:dyDescent="0.45">
      <c r="A234" s="6"/>
      <c r="B234" s="6"/>
      <c r="C234" s="158"/>
      <c r="D234" s="158"/>
      <c r="E234" s="158"/>
      <c r="F234" s="158"/>
      <c r="G234" s="158"/>
      <c r="H234" s="158"/>
      <c r="I234" s="158"/>
      <c r="J234" s="158"/>
      <c r="K234" s="158"/>
      <c r="L234" s="158"/>
      <c r="M234" s="179"/>
      <c r="N234" s="179"/>
    </row>
    <row r="235" spans="1:14" ht="18" x14ac:dyDescent="0.45">
      <c r="A235" s="6"/>
      <c r="B235" s="6"/>
      <c r="C235" s="158"/>
      <c r="D235" s="158"/>
      <c r="E235" s="158"/>
      <c r="F235" s="158"/>
      <c r="G235" s="158"/>
      <c r="H235" s="158"/>
      <c r="I235" s="158"/>
      <c r="J235" s="158"/>
      <c r="K235" s="158"/>
      <c r="L235" s="158"/>
      <c r="M235" s="179"/>
      <c r="N235" s="179"/>
    </row>
    <row r="236" spans="1:14" ht="18" x14ac:dyDescent="0.45">
      <c r="A236" s="6"/>
      <c r="B236" s="6"/>
      <c r="C236" s="158"/>
      <c r="D236" s="158"/>
      <c r="E236" s="158"/>
      <c r="F236" s="158"/>
      <c r="G236" s="158"/>
      <c r="H236" s="158"/>
      <c r="I236" s="158"/>
      <c r="J236" s="158"/>
      <c r="K236" s="158"/>
      <c r="L236" s="158"/>
      <c r="M236" s="179"/>
      <c r="N236" s="179"/>
    </row>
    <row r="237" spans="1:14" ht="18" x14ac:dyDescent="0.45">
      <c r="A237" s="6"/>
      <c r="B237" s="6"/>
      <c r="C237" s="158"/>
      <c r="D237" s="158"/>
      <c r="E237" s="158"/>
      <c r="F237" s="158"/>
      <c r="G237" s="158"/>
      <c r="H237" s="158"/>
      <c r="I237" s="158"/>
      <c r="J237" s="158"/>
      <c r="K237" s="158"/>
      <c r="L237" s="158"/>
      <c r="M237" s="179"/>
      <c r="N237" s="179"/>
    </row>
    <row r="238" spans="1:14" ht="18" x14ac:dyDescent="0.45">
      <c r="A238" s="6"/>
      <c r="B238" s="6"/>
      <c r="C238" s="158"/>
      <c r="D238" s="158"/>
      <c r="E238" s="158"/>
      <c r="F238" s="158"/>
      <c r="G238" s="158"/>
      <c r="H238" s="158"/>
      <c r="I238" s="158"/>
      <c r="J238" s="158"/>
      <c r="K238" s="158"/>
      <c r="L238" s="158"/>
      <c r="M238" s="179"/>
      <c r="N238" s="179"/>
    </row>
    <row r="239" spans="1:14" ht="18" x14ac:dyDescent="0.45">
      <c r="A239" s="6"/>
      <c r="B239" s="6"/>
      <c r="C239" s="158"/>
      <c r="D239" s="158"/>
      <c r="E239" s="158"/>
      <c r="F239" s="158"/>
      <c r="G239" s="158"/>
      <c r="H239" s="158"/>
      <c r="I239" s="158"/>
      <c r="J239" s="158"/>
      <c r="K239" s="158"/>
      <c r="L239" s="158"/>
      <c r="M239" s="179"/>
      <c r="N239" s="179"/>
    </row>
    <row r="240" spans="1:14" ht="18" x14ac:dyDescent="0.45">
      <c r="A240" s="6"/>
      <c r="B240" s="6"/>
      <c r="C240" s="158"/>
      <c r="D240" s="158"/>
      <c r="E240" s="158"/>
      <c r="F240" s="158"/>
      <c r="G240" s="158"/>
      <c r="H240" s="158"/>
      <c r="I240" s="158"/>
      <c r="J240" s="158"/>
      <c r="K240" s="158"/>
      <c r="L240" s="158"/>
      <c r="M240" s="179"/>
      <c r="N240" s="179"/>
    </row>
    <row r="241" spans="1:14" ht="18" x14ac:dyDescent="0.45">
      <c r="A241" s="6"/>
      <c r="B241" s="6"/>
      <c r="C241" s="158"/>
      <c r="D241" s="158"/>
      <c r="E241" s="158"/>
      <c r="F241" s="158"/>
      <c r="G241" s="158"/>
      <c r="H241" s="158"/>
      <c r="I241" s="158"/>
      <c r="J241" s="158"/>
      <c r="K241" s="158"/>
      <c r="L241" s="158"/>
      <c r="M241" s="179"/>
      <c r="N241" s="179"/>
    </row>
    <row r="242" spans="1:14" ht="18" x14ac:dyDescent="0.45">
      <c r="A242" s="6"/>
      <c r="B242" s="6"/>
      <c r="C242" s="158"/>
      <c r="D242" s="158"/>
      <c r="E242" s="158"/>
      <c r="F242" s="158"/>
      <c r="G242" s="158"/>
      <c r="H242" s="158"/>
      <c r="I242" s="158"/>
      <c r="J242" s="158"/>
      <c r="K242" s="158"/>
      <c r="L242" s="158"/>
      <c r="M242" s="179"/>
      <c r="N242" s="179"/>
    </row>
    <row r="243" spans="1:14" ht="18" x14ac:dyDescent="0.45">
      <c r="A243" s="6"/>
      <c r="B243" s="6"/>
      <c r="C243" s="158"/>
      <c r="D243" s="158"/>
      <c r="E243" s="158"/>
      <c r="F243" s="158"/>
      <c r="G243" s="158"/>
      <c r="H243" s="158"/>
      <c r="I243" s="158"/>
      <c r="J243" s="158"/>
      <c r="K243" s="158"/>
      <c r="L243" s="158"/>
      <c r="M243" s="179"/>
      <c r="N243" s="179"/>
    </row>
    <row r="244" spans="1:14" ht="18" x14ac:dyDescent="0.45">
      <c r="A244" s="6"/>
      <c r="B244" s="6"/>
      <c r="C244" s="158"/>
      <c r="D244" s="158"/>
      <c r="E244" s="158"/>
      <c r="F244" s="158"/>
      <c r="G244" s="158"/>
      <c r="H244" s="158"/>
      <c r="I244" s="158"/>
      <c r="J244" s="158"/>
      <c r="K244" s="158"/>
      <c r="L244" s="158"/>
      <c r="M244" s="179"/>
      <c r="N244" s="179"/>
    </row>
    <row r="245" spans="1:14" ht="18" x14ac:dyDescent="0.45">
      <c r="A245" s="6"/>
      <c r="B245" s="6"/>
      <c r="C245" s="158"/>
      <c r="D245" s="158"/>
      <c r="E245" s="158"/>
      <c r="F245" s="158"/>
      <c r="G245" s="158"/>
      <c r="H245" s="158"/>
      <c r="I245" s="158"/>
      <c r="J245" s="158"/>
      <c r="K245" s="158"/>
      <c r="L245" s="158"/>
      <c r="M245" s="179"/>
      <c r="N245" s="179"/>
    </row>
    <row r="246" spans="1:14" ht="18" x14ac:dyDescent="0.45">
      <c r="A246" s="6"/>
      <c r="B246" s="6"/>
      <c r="C246" s="158"/>
      <c r="D246" s="158"/>
      <c r="E246" s="158"/>
      <c r="F246" s="158"/>
      <c r="G246" s="158"/>
      <c r="H246" s="158"/>
      <c r="I246" s="158"/>
      <c r="J246" s="158"/>
      <c r="K246" s="158"/>
      <c r="L246" s="158"/>
      <c r="M246" s="179"/>
      <c r="N246" s="179"/>
    </row>
    <row r="247" spans="1:14" ht="18" x14ac:dyDescent="0.45">
      <c r="A247" s="6"/>
      <c r="B247" s="6"/>
      <c r="C247" s="158"/>
      <c r="D247" s="158"/>
      <c r="E247" s="158"/>
      <c r="F247" s="158"/>
      <c r="G247" s="158"/>
      <c r="H247" s="158"/>
      <c r="I247" s="158"/>
      <c r="J247" s="158"/>
      <c r="K247" s="158"/>
      <c r="L247" s="158"/>
      <c r="M247" s="179"/>
      <c r="N247" s="179"/>
    </row>
    <row r="248" spans="1:14" ht="18" x14ac:dyDescent="0.45">
      <c r="A248" s="6"/>
      <c r="B248" s="6"/>
      <c r="C248" s="158"/>
      <c r="D248" s="158"/>
      <c r="E248" s="158"/>
      <c r="F248" s="158"/>
      <c r="G248" s="158"/>
      <c r="H248" s="158"/>
      <c r="I248" s="158"/>
      <c r="J248" s="158"/>
      <c r="K248" s="158"/>
      <c r="L248" s="158"/>
      <c r="M248" s="179"/>
      <c r="N248" s="179"/>
    </row>
    <row r="249" spans="1:14" ht="18" x14ac:dyDescent="0.45">
      <c r="A249" s="6"/>
      <c r="B249" s="6"/>
      <c r="C249" s="158"/>
      <c r="D249" s="158"/>
      <c r="E249" s="158"/>
      <c r="F249" s="158"/>
      <c r="G249" s="158"/>
      <c r="H249" s="158"/>
      <c r="I249" s="158"/>
      <c r="J249" s="158"/>
      <c r="K249" s="158"/>
      <c r="L249" s="158"/>
      <c r="M249" s="179"/>
      <c r="N249" s="179"/>
    </row>
    <row r="250" spans="1:14" ht="18" x14ac:dyDescent="0.45">
      <c r="A250" s="6"/>
      <c r="B250" s="6"/>
      <c r="C250" s="158"/>
      <c r="D250" s="158"/>
      <c r="E250" s="158"/>
      <c r="F250" s="158"/>
      <c r="G250" s="158"/>
      <c r="H250" s="158"/>
      <c r="I250" s="158"/>
      <c r="J250" s="158"/>
      <c r="K250" s="158"/>
      <c r="L250" s="158"/>
      <c r="M250" s="179"/>
      <c r="N250" s="179"/>
    </row>
    <row r="251" spans="1:14" ht="18" x14ac:dyDescent="0.45">
      <c r="A251" s="6"/>
      <c r="B251" s="6"/>
      <c r="C251" s="158"/>
      <c r="D251" s="158"/>
      <c r="E251" s="158"/>
      <c r="F251" s="158"/>
      <c r="G251" s="158"/>
      <c r="H251" s="158"/>
      <c r="I251" s="158"/>
      <c r="J251" s="158"/>
      <c r="K251" s="158"/>
      <c r="L251" s="158"/>
      <c r="M251" s="179"/>
      <c r="N251" s="179"/>
    </row>
    <row r="252" spans="1:14" ht="18" x14ac:dyDescent="0.45">
      <c r="A252" s="6"/>
      <c r="B252" s="6"/>
      <c r="C252" s="158"/>
      <c r="D252" s="158"/>
      <c r="E252" s="158"/>
      <c r="F252" s="158"/>
      <c r="G252" s="158"/>
      <c r="H252" s="158"/>
      <c r="I252" s="158"/>
      <c r="J252" s="158"/>
      <c r="K252" s="158"/>
      <c r="L252" s="158"/>
      <c r="M252" s="179"/>
      <c r="N252" s="179"/>
    </row>
    <row r="253" spans="1:14" ht="18" x14ac:dyDescent="0.45">
      <c r="A253" s="6"/>
      <c r="B253" s="6"/>
      <c r="C253" s="158"/>
      <c r="D253" s="158"/>
      <c r="E253" s="158"/>
      <c r="F253" s="158"/>
      <c r="G253" s="158"/>
      <c r="H253" s="158"/>
      <c r="I253" s="158"/>
      <c r="J253" s="158"/>
      <c r="K253" s="158"/>
      <c r="L253" s="158"/>
      <c r="M253" s="179"/>
      <c r="N253" s="179"/>
    </row>
    <row r="254" spans="1:14" ht="18" x14ac:dyDescent="0.45">
      <c r="A254" s="6"/>
      <c r="B254" s="6"/>
      <c r="C254" s="158"/>
      <c r="D254" s="158"/>
      <c r="E254" s="158"/>
      <c r="F254" s="158"/>
      <c r="G254" s="158"/>
      <c r="H254" s="158"/>
      <c r="I254" s="158"/>
      <c r="J254" s="158"/>
      <c r="K254" s="158"/>
      <c r="L254" s="158"/>
      <c r="M254" s="179"/>
      <c r="N254" s="179"/>
    </row>
    <row r="255" spans="1:14" ht="18" x14ac:dyDescent="0.45">
      <c r="A255" s="6"/>
      <c r="B255" s="6"/>
      <c r="C255" s="158"/>
      <c r="D255" s="158"/>
      <c r="E255" s="158"/>
      <c r="F255" s="158"/>
      <c r="G255" s="158"/>
      <c r="H255" s="158"/>
      <c r="I255" s="158"/>
      <c r="J255" s="158"/>
      <c r="K255" s="158"/>
      <c r="L255" s="158"/>
      <c r="M255" s="179"/>
      <c r="N255" s="179"/>
    </row>
    <row r="256" spans="1:14" ht="18" x14ac:dyDescent="0.45">
      <c r="A256" s="6"/>
      <c r="B256" s="6"/>
      <c r="C256" s="158"/>
      <c r="D256" s="158"/>
      <c r="E256" s="158"/>
      <c r="F256" s="158"/>
      <c r="G256" s="158"/>
      <c r="H256" s="158"/>
      <c r="I256" s="158"/>
      <c r="J256" s="158"/>
      <c r="K256" s="158"/>
      <c r="L256" s="158"/>
      <c r="M256" s="179"/>
      <c r="N256" s="179"/>
    </row>
    <row r="257" spans="1:14" ht="18" x14ac:dyDescent="0.45">
      <c r="A257" s="6"/>
      <c r="B257" s="6"/>
      <c r="C257" s="158"/>
      <c r="D257" s="158"/>
      <c r="E257" s="158"/>
      <c r="F257" s="158"/>
      <c r="G257" s="158"/>
      <c r="H257" s="158"/>
      <c r="I257" s="158"/>
      <c r="J257" s="158"/>
      <c r="K257" s="158"/>
      <c r="L257" s="158"/>
      <c r="M257" s="179"/>
      <c r="N257" s="179"/>
    </row>
    <row r="258" spans="1:14" ht="18" x14ac:dyDescent="0.45">
      <c r="A258" s="6"/>
      <c r="B258" s="6"/>
      <c r="C258" s="158"/>
      <c r="D258" s="158"/>
      <c r="E258" s="158"/>
      <c r="F258" s="158"/>
      <c r="G258" s="158"/>
      <c r="H258" s="158"/>
      <c r="I258" s="158"/>
      <c r="J258" s="158"/>
      <c r="K258" s="158"/>
      <c r="L258" s="158"/>
      <c r="M258" s="179"/>
      <c r="N258" s="179"/>
    </row>
    <row r="259" spans="1:14" ht="18" x14ac:dyDescent="0.45">
      <c r="A259" s="6"/>
      <c r="B259" s="6"/>
      <c r="C259" s="158"/>
      <c r="D259" s="158"/>
      <c r="E259" s="158"/>
      <c r="F259" s="158"/>
      <c r="G259" s="158"/>
      <c r="H259" s="158"/>
      <c r="I259" s="158"/>
      <c r="J259" s="158"/>
      <c r="K259" s="158"/>
      <c r="L259" s="158"/>
      <c r="M259" s="179"/>
      <c r="N259" s="179"/>
    </row>
    <row r="260" spans="1:14" ht="18" x14ac:dyDescent="0.45">
      <c r="A260" s="6"/>
      <c r="B260" s="6"/>
      <c r="C260" s="158"/>
      <c r="D260" s="158"/>
      <c r="E260" s="158"/>
      <c r="F260" s="158"/>
      <c r="G260" s="158"/>
      <c r="H260" s="158"/>
      <c r="I260" s="158"/>
      <c r="J260" s="158"/>
      <c r="K260" s="158"/>
      <c r="L260" s="158"/>
      <c r="M260" s="179"/>
      <c r="N260" s="179"/>
    </row>
    <row r="261" spans="1:14" ht="18" x14ac:dyDescent="0.45">
      <c r="A261" s="6"/>
      <c r="B261" s="6"/>
      <c r="C261" s="158"/>
      <c r="D261" s="158"/>
      <c r="E261" s="158"/>
      <c r="F261" s="158"/>
      <c r="G261" s="158"/>
      <c r="H261" s="158"/>
      <c r="I261" s="158"/>
      <c r="J261" s="158"/>
      <c r="K261" s="158"/>
      <c r="L261" s="158"/>
      <c r="M261" s="179"/>
      <c r="N261" s="179"/>
    </row>
    <row r="262" spans="1:14" ht="18" x14ac:dyDescent="0.45">
      <c r="A262" s="6"/>
      <c r="B262" s="6"/>
      <c r="C262" s="158"/>
      <c r="D262" s="158"/>
      <c r="E262" s="158"/>
      <c r="F262" s="158"/>
      <c r="G262" s="158"/>
      <c r="H262" s="158"/>
      <c r="I262" s="158"/>
      <c r="J262" s="158"/>
      <c r="K262" s="158"/>
      <c r="L262" s="158"/>
      <c r="M262" s="179"/>
      <c r="N262" s="179"/>
    </row>
    <row r="263" spans="1:14" ht="18" x14ac:dyDescent="0.45">
      <c r="A263" s="6"/>
      <c r="B263" s="6"/>
      <c r="C263" s="158"/>
      <c r="D263" s="158"/>
      <c r="E263" s="158"/>
      <c r="F263" s="158"/>
      <c r="G263" s="158"/>
      <c r="H263" s="158"/>
      <c r="I263" s="158"/>
      <c r="J263" s="158"/>
      <c r="K263" s="158"/>
      <c r="L263" s="158"/>
      <c r="M263" s="179"/>
      <c r="N263" s="179"/>
    </row>
    <row r="264" spans="1:14" ht="18" x14ac:dyDescent="0.45">
      <c r="A264" s="6"/>
      <c r="B264" s="6"/>
      <c r="C264" s="158"/>
      <c r="D264" s="158"/>
      <c r="E264" s="158"/>
      <c r="F264" s="158"/>
      <c r="G264" s="158"/>
      <c r="H264" s="158"/>
      <c r="I264" s="158"/>
      <c r="J264" s="158"/>
      <c r="K264" s="158"/>
      <c r="L264" s="158"/>
      <c r="M264" s="179"/>
      <c r="N264" s="179"/>
    </row>
    <row r="265" spans="1:14" ht="18" x14ac:dyDescent="0.45">
      <c r="A265" s="6"/>
      <c r="B265" s="6"/>
      <c r="C265" s="158"/>
      <c r="D265" s="158"/>
      <c r="E265" s="158"/>
      <c r="F265" s="158"/>
      <c r="G265" s="158"/>
      <c r="H265" s="158"/>
      <c r="I265" s="158"/>
      <c r="J265" s="158"/>
      <c r="K265" s="158"/>
      <c r="L265" s="158"/>
      <c r="M265" s="179"/>
      <c r="N265" s="179"/>
    </row>
    <row r="266" spans="1:14" ht="18" x14ac:dyDescent="0.45">
      <c r="A266" s="6"/>
      <c r="B266" s="6"/>
      <c r="C266" s="158"/>
      <c r="D266" s="158"/>
      <c r="E266" s="158"/>
      <c r="F266" s="158"/>
      <c r="G266" s="158"/>
      <c r="H266" s="158"/>
      <c r="I266" s="158"/>
      <c r="J266" s="158"/>
      <c r="K266" s="158"/>
      <c r="L266" s="158"/>
      <c r="M266" s="179"/>
      <c r="N266" s="179"/>
    </row>
    <row r="267" spans="1:14" ht="18" x14ac:dyDescent="0.45">
      <c r="A267" s="6"/>
      <c r="B267" s="6"/>
      <c r="C267" s="158"/>
      <c r="D267" s="158"/>
      <c r="E267" s="158"/>
      <c r="F267" s="158"/>
      <c r="G267" s="158"/>
      <c r="H267" s="158"/>
      <c r="I267" s="158"/>
      <c r="J267" s="158"/>
      <c r="K267" s="158"/>
      <c r="L267" s="158"/>
      <c r="M267" s="179"/>
      <c r="N267" s="179"/>
    </row>
    <row r="268" spans="1:14" ht="18" x14ac:dyDescent="0.45">
      <c r="A268" s="6"/>
      <c r="B268" s="6"/>
      <c r="C268" s="158"/>
      <c r="D268" s="158"/>
      <c r="E268" s="158"/>
      <c r="F268" s="158"/>
      <c r="G268" s="158"/>
      <c r="H268" s="158"/>
      <c r="I268" s="158"/>
      <c r="J268" s="158"/>
      <c r="K268" s="158"/>
      <c r="L268" s="158"/>
      <c r="M268" s="179"/>
      <c r="N268" s="179"/>
    </row>
    <row r="269" spans="1:14" ht="18" x14ac:dyDescent="0.45">
      <c r="A269" s="6"/>
      <c r="B269" s="6"/>
      <c r="C269" s="158"/>
      <c r="D269" s="158"/>
      <c r="E269" s="158"/>
      <c r="F269" s="158"/>
      <c r="G269" s="158"/>
      <c r="H269" s="158"/>
      <c r="I269" s="158"/>
      <c r="J269" s="158"/>
      <c r="K269" s="158"/>
      <c r="L269" s="158"/>
      <c r="M269" s="179"/>
      <c r="N269" s="179"/>
    </row>
    <row r="270" spans="1:14" ht="18" x14ac:dyDescent="0.45">
      <c r="A270" s="6"/>
      <c r="B270" s="6"/>
      <c r="C270" s="158"/>
      <c r="D270" s="158"/>
      <c r="E270" s="158"/>
      <c r="F270" s="158"/>
      <c r="G270" s="158"/>
      <c r="H270" s="158"/>
      <c r="I270" s="158"/>
      <c r="J270" s="158"/>
      <c r="K270" s="158"/>
      <c r="L270" s="158"/>
      <c r="M270" s="179"/>
      <c r="N270" s="179"/>
    </row>
    <row r="271" spans="1:14" ht="18" x14ac:dyDescent="0.45">
      <c r="A271" s="6"/>
      <c r="B271" s="6"/>
      <c r="C271" s="158"/>
      <c r="D271" s="158"/>
      <c r="E271" s="158"/>
      <c r="F271" s="158"/>
      <c r="G271" s="158"/>
      <c r="H271" s="158"/>
      <c r="I271" s="158"/>
      <c r="J271" s="158"/>
      <c r="K271" s="158"/>
      <c r="L271" s="158"/>
      <c r="M271" s="179"/>
      <c r="N271" s="179"/>
    </row>
    <row r="272" spans="1:14" ht="18" x14ac:dyDescent="0.45">
      <c r="A272" s="6"/>
      <c r="B272" s="6"/>
      <c r="C272" s="158"/>
      <c r="D272" s="158"/>
      <c r="E272" s="158"/>
      <c r="F272" s="158"/>
      <c r="G272" s="158"/>
      <c r="H272" s="158"/>
      <c r="I272" s="158"/>
      <c r="J272" s="158"/>
      <c r="K272" s="158"/>
      <c r="L272" s="158"/>
      <c r="M272" s="179"/>
      <c r="N272" s="179"/>
    </row>
    <row r="273" spans="1:14" ht="18" x14ac:dyDescent="0.45">
      <c r="A273" s="6"/>
      <c r="B273" s="6"/>
      <c r="C273" s="158"/>
      <c r="D273" s="158"/>
      <c r="E273" s="158"/>
      <c r="F273" s="158"/>
      <c r="G273" s="158"/>
      <c r="H273" s="158"/>
      <c r="I273" s="158"/>
      <c r="J273" s="158"/>
      <c r="K273" s="158"/>
      <c r="L273" s="158"/>
      <c r="M273" s="179"/>
      <c r="N273" s="179"/>
    </row>
    <row r="274" spans="1:14" ht="18" x14ac:dyDescent="0.45">
      <c r="A274" s="6"/>
      <c r="B274" s="6"/>
      <c r="C274" s="158"/>
      <c r="D274" s="158"/>
      <c r="E274" s="158"/>
      <c r="F274" s="158"/>
      <c r="G274" s="158"/>
      <c r="H274" s="158"/>
      <c r="I274" s="158"/>
      <c r="J274" s="158"/>
      <c r="K274" s="158"/>
      <c r="L274" s="158"/>
      <c r="M274" s="179"/>
      <c r="N274" s="179"/>
    </row>
    <row r="275" spans="1:14" ht="18" x14ac:dyDescent="0.45">
      <c r="A275" s="6"/>
      <c r="B275" s="6"/>
      <c r="C275" s="158"/>
      <c r="D275" s="158"/>
      <c r="E275" s="158"/>
      <c r="F275" s="158"/>
      <c r="G275" s="158"/>
      <c r="H275" s="158"/>
      <c r="I275" s="158"/>
      <c r="J275" s="158"/>
      <c r="K275" s="158"/>
      <c r="L275" s="158"/>
      <c r="M275" s="179"/>
      <c r="N275" s="179"/>
    </row>
    <row r="276" spans="1:14" ht="18" x14ac:dyDescent="0.45">
      <c r="A276" s="6"/>
      <c r="B276" s="6"/>
      <c r="C276" s="158"/>
      <c r="D276" s="158"/>
      <c r="E276" s="158"/>
      <c r="F276" s="158"/>
      <c r="G276" s="158"/>
      <c r="H276" s="158"/>
      <c r="I276" s="158"/>
      <c r="J276" s="158"/>
      <c r="K276" s="158"/>
      <c r="L276" s="158"/>
      <c r="M276" s="179"/>
      <c r="N276" s="179"/>
    </row>
    <row r="277" spans="1:14" ht="18" x14ac:dyDescent="0.45">
      <c r="A277" s="6"/>
      <c r="B277" s="6"/>
      <c r="C277" s="158"/>
      <c r="D277" s="158"/>
      <c r="E277" s="158"/>
      <c r="F277" s="158"/>
      <c r="G277" s="158"/>
      <c r="H277" s="158"/>
      <c r="I277" s="158"/>
      <c r="J277" s="158"/>
      <c r="K277" s="158"/>
      <c r="L277" s="158"/>
      <c r="M277" s="179"/>
      <c r="N277" s="179"/>
    </row>
    <row r="278" spans="1:14" ht="18" x14ac:dyDescent="0.45">
      <c r="A278" s="6"/>
      <c r="B278" s="6"/>
      <c r="C278" s="158"/>
      <c r="D278" s="158"/>
      <c r="E278" s="158"/>
      <c r="F278" s="158"/>
      <c r="G278" s="158"/>
      <c r="H278" s="158"/>
      <c r="I278" s="158"/>
      <c r="J278" s="158"/>
      <c r="K278" s="158"/>
      <c r="L278" s="158"/>
      <c r="M278" s="179"/>
      <c r="N278" s="179"/>
    </row>
    <row r="279" spans="1:14" ht="18" x14ac:dyDescent="0.45">
      <c r="A279" s="6"/>
      <c r="B279" s="6"/>
      <c r="C279" s="158"/>
      <c r="D279" s="158"/>
      <c r="E279" s="158"/>
      <c r="F279" s="158"/>
      <c r="G279" s="158"/>
      <c r="H279" s="158"/>
      <c r="I279" s="158"/>
      <c r="J279" s="158"/>
      <c r="K279" s="158"/>
      <c r="L279" s="158"/>
      <c r="M279" s="179"/>
      <c r="N279" s="179"/>
    </row>
    <row r="280" spans="1:14" ht="18" x14ac:dyDescent="0.45">
      <c r="A280" s="6"/>
      <c r="B280" s="6"/>
      <c r="C280" s="158"/>
      <c r="D280" s="158"/>
      <c r="E280" s="158"/>
      <c r="F280" s="158"/>
      <c r="G280" s="158"/>
      <c r="H280" s="158"/>
      <c r="I280" s="158"/>
      <c r="J280" s="158"/>
      <c r="K280" s="158"/>
      <c r="L280" s="158"/>
      <c r="M280" s="179"/>
      <c r="N280" s="179"/>
    </row>
    <row r="281" spans="1:14" ht="18" x14ac:dyDescent="0.45">
      <c r="A281" s="6"/>
      <c r="B281" s="6"/>
      <c r="C281" s="158"/>
      <c r="D281" s="158"/>
      <c r="E281" s="158"/>
      <c r="F281" s="158"/>
      <c r="G281" s="158"/>
      <c r="H281" s="158"/>
      <c r="I281" s="158"/>
      <c r="J281" s="158"/>
      <c r="K281" s="158"/>
      <c r="L281" s="158"/>
      <c r="M281" s="179"/>
      <c r="N281" s="179"/>
    </row>
    <row r="282" spans="1:14" ht="18" x14ac:dyDescent="0.45">
      <c r="A282" s="6"/>
      <c r="B282" s="6"/>
      <c r="C282" s="158"/>
      <c r="D282" s="158"/>
      <c r="E282" s="158"/>
      <c r="F282" s="158"/>
      <c r="G282" s="158"/>
      <c r="H282" s="158"/>
      <c r="I282" s="158"/>
      <c r="J282" s="158"/>
      <c r="K282" s="158"/>
      <c r="L282" s="158"/>
      <c r="M282" s="179"/>
      <c r="N282" s="179"/>
    </row>
    <row r="283" spans="1:14" ht="18" x14ac:dyDescent="0.45">
      <c r="A283" s="6"/>
      <c r="B283" s="6"/>
      <c r="C283" s="158"/>
      <c r="D283" s="158"/>
      <c r="E283" s="158"/>
      <c r="F283" s="158"/>
      <c r="G283" s="158"/>
      <c r="H283" s="158"/>
      <c r="I283" s="158"/>
      <c r="J283" s="158"/>
      <c r="K283" s="158"/>
      <c r="L283" s="158"/>
      <c r="M283" s="179"/>
      <c r="N283" s="179"/>
    </row>
    <row r="284" spans="1:14" ht="18" x14ac:dyDescent="0.45">
      <c r="A284" s="6"/>
      <c r="B284" s="6"/>
      <c r="C284" s="158"/>
      <c r="D284" s="158"/>
      <c r="E284" s="158"/>
      <c r="F284" s="158"/>
      <c r="G284" s="158"/>
      <c r="H284" s="158"/>
      <c r="I284" s="158"/>
      <c r="J284" s="158"/>
      <c r="K284" s="158"/>
      <c r="L284" s="158"/>
      <c r="M284" s="179"/>
      <c r="N284" s="179"/>
    </row>
    <row r="285" spans="1:14" ht="18" x14ac:dyDescent="0.45">
      <c r="A285" s="6"/>
      <c r="B285" s="6"/>
      <c r="C285" s="158"/>
      <c r="D285" s="158"/>
      <c r="E285" s="158"/>
      <c r="F285" s="158"/>
      <c r="G285" s="158"/>
      <c r="H285" s="158"/>
      <c r="I285" s="158"/>
      <c r="J285" s="158"/>
      <c r="K285" s="158"/>
      <c r="L285" s="158"/>
      <c r="M285" s="179"/>
      <c r="N285" s="179"/>
    </row>
    <row r="286" spans="1:14" ht="18" x14ac:dyDescent="0.45">
      <c r="A286" s="6"/>
      <c r="B286" s="6"/>
      <c r="C286" s="158"/>
      <c r="D286" s="158"/>
      <c r="E286" s="158"/>
      <c r="F286" s="158"/>
      <c r="G286" s="158"/>
      <c r="H286" s="158"/>
      <c r="I286" s="158"/>
      <c r="J286" s="158"/>
      <c r="K286" s="158"/>
      <c r="L286" s="158"/>
      <c r="M286" s="179"/>
      <c r="N286" s="179"/>
    </row>
    <row r="287" spans="1:14" ht="18" x14ac:dyDescent="0.45">
      <c r="A287" s="6"/>
      <c r="B287" s="6"/>
      <c r="C287" s="158"/>
      <c r="D287" s="158"/>
      <c r="E287" s="158"/>
      <c r="F287" s="158"/>
      <c r="G287" s="158"/>
      <c r="H287" s="158"/>
      <c r="I287" s="158"/>
      <c r="J287" s="158"/>
      <c r="K287" s="158"/>
      <c r="L287" s="158"/>
      <c r="M287" s="179"/>
      <c r="N287" s="179"/>
    </row>
    <row r="288" spans="1:14" ht="18" x14ac:dyDescent="0.45">
      <c r="A288" s="6"/>
      <c r="B288" s="6"/>
      <c r="C288" s="158"/>
      <c r="D288" s="158"/>
      <c r="E288" s="158"/>
      <c r="F288" s="158"/>
      <c r="G288" s="158"/>
      <c r="H288" s="158"/>
      <c r="I288" s="158"/>
      <c r="J288" s="158"/>
      <c r="K288" s="158"/>
      <c r="L288" s="158"/>
      <c r="M288" s="179"/>
      <c r="N288" s="179"/>
    </row>
    <row r="289" spans="1:14" ht="18" x14ac:dyDescent="0.45">
      <c r="A289" s="6"/>
      <c r="B289" s="6"/>
      <c r="C289" s="158"/>
      <c r="D289" s="158"/>
      <c r="E289" s="158"/>
      <c r="F289" s="158"/>
      <c r="G289" s="158"/>
      <c r="H289" s="158"/>
      <c r="I289" s="158"/>
      <c r="J289" s="158"/>
      <c r="K289" s="158"/>
      <c r="L289" s="158"/>
      <c r="M289" s="179"/>
      <c r="N289" s="179"/>
    </row>
    <row r="290" spans="1:14" ht="18" x14ac:dyDescent="0.45">
      <c r="A290" s="6"/>
      <c r="B290" s="6"/>
      <c r="C290" s="158"/>
      <c r="D290" s="158"/>
      <c r="E290" s="158"/>
      <c r="F290" s="158"/>
      <c r="G290" s="158"/>
      <c r="H290" s="158"/>
      <c r="I290" s="158"/>
      <c r="J290" s="158"/>
      <c r="K290" s="158"/>
      <c r="L290" s="158"/>
      <c r="M290" s="179"/>
      <c r="N290" s="179"/>
    </row>
    <row r="291" spans="1:14" ht="18" x14ac:dyDescent="0.45">
      <c r="A291" s="6"/>
      <c r="B291" s="6"/>
      <c r="C291" s="158"/>
      <c r="D291" s="158"/>
      <c r="E291" s="158"/>
      <c r="F291" s="158"/>
      <c r="G291" s="158"/>
      <c r="H291" s="158"/>
      <c r="I291" s="158"/>
      <c r="J291" s="158"/>
      <c r="K291" s="158"/>
      <c r="L291" s="158"/>
      <c r="M291" s="179"/>
      <c r="N291" s="179"/>
    </row>
  </sheetData>
  <mergeCells count="214">
    <mergeCell ref="M287:N287"/>
    <mergeCell ref="M288:N288"/>
    <mergeCell ref="M289:N289"/>
    <mergeCell ref="M290:N290"/>
    <mergeCell ref="M291:N291"/>
    <mergeCell ref="M282:N282"/>
    <mergeCell ref="M283:N283"/>
    <mergeCell ref="M284:N284"/>
    <mergeCell ref="M285:N285"/>
    <mergeCell ref="M286:N286"/>
    <mergeCell ref="M277:N277"/>
    <mergeCell ref="M278:N278"/>
    <mergeCell ref="M279:N279"/>
    <mergeCell ref="M280:N280"/>
    <mergeCell ref="M281:N281"/>
    <mergeCell ref="M272:N272"/>
    <mergeCell ref="M273:N273"/>
    <mergeCell ref="M274:N274"/>
    <mergeCell ref="M275:N275"/>
    <mergeCell ref="M276:N276"/>
    <mergeCell ref="M267:N267"/>
    <mergeCell ref="M268:N268"/>
    <mergeCell ref="M269:N269"/>
    <mergeCell ref="M270:N270"/>
    <mergeCell ref="M271:N271"/>
    <mergeCell ref="M262:N262"/>
    <mergeCell ref="M263:N263"/>
    <mergeCell ref="M264:N264"/>
    <mergeCell ref="M265:N265"/>
    <mergeCell ref="M266:N266"/>
    <mergeCell ref="M257:N257"/>
    <mergeCell ref="M258:N258"/>
    <mergeCell ref="M259:N259"/>
    <mergeCell ref="M260:N260"/>
    <mergeCell ref="M261:N261"/>
    <mergeCell ref="M252:N252"/>
    <mergeCell ref="M253:N253"/>
    <mergeCell ref="M254:N254"/>
    <mergeCell ref="M255:N255"/>
    <mergeCell ref="M256:N256"/>
    <mergeCell ref="M247:N247"/>
    <mergeCell ref="M248:N248"/>
    <mergeCell ref="M249:N249"/>
    <mergeCell ref="M250:N250"/>
    <mergeCell ref="M251:N251"/>
    <mergeCell ref="M242:N242"/>
    <mergeCell ref="M243:N243"/>
    <mergeCell ref="M244:N244"/>
    <mergeCell ref="M245:N245"/>
    <mergeCell ref="M246:N246"/>
    <mergeCell ref="M237:N237"/>
    <mergeCell ref="M238:N238"/>
    <mergeCell ref="M239:N239"/>
    <mergeCell ref="M240:N240"/>
    <mergeCell ref="M241:N241"/>
    <mergeCell ref="M232:N232"/>
    <mergeCell ref="M233:N233"/>
    <mergeCell ref="M234:N234"/>
    <mergeCell ref="M235:N235"/>
    <mergeCell ref="M236:N236"/>
    <mergeCell ref="M227:N227"/>
    <mergeCell ref="M228:N228"/>
    <mergeCell ref="M229:N229"/>
    <mergeCell ref="M230:N230"/>
    <mergeCell ref="M231:N231"/>
    <mergeCell ref="M222:N222"/>
    <mergeCell ref="M223:N223"/>
    <mergeCell ref="M224:N224"/>
    <mergeCell ref="M225:N225"/>
    <mergeCell ref="M226:N226"/>
    <mergeCell ref="M217:N217"/>
    <mergeCell ref="M218:N218"/>
    <mergeCell ref="M219:N219"/>
    <mergeCell ref="M220:N220"/>
    <mergeCell ref="M221:N221"/>
    <mergeCell ref="M212:N212"/>
    <mergeCell ref="M213:N213"/>
    <mergeCell ref="M214:N214"/>
    <mergeCell ref="M215:N215"/>
    <mergeCell ref="M216:N216"/>
    <mergeCell ref="M207:N207"/>
    <mergeCell ref="M208:N208"/>
    <mergeCell ref="M209:N209"/>
    <mergeCell ref="M210:N210"/>
    <mergeCell ref="M211:N211"/>
    <mergeCell ref="M202:N202"/>
    <mergeCell ref="M203:N203"/>
    <mergeCell ref="M204:N204"/>
    <mergeCell ref="M205:N205"/>
    <mergeCell ref="M206:N206"/>
    <mergeCell ref="M197:N197"/>
    <mergeCell ref="M198:N198"/>
    <mergeCell ref="M199:N199"/>
    <mergeCell ref="M200:N200"/>
    <mergeCell ref="M201:N201"/>
    <mergeCell ref="M192:N192"/>
    <mergeCell ref="M193:N193"/>
    <mergeCell ref="M194:N194"/>
    <mergeCell ref="M195:N195"/>
    <mergeCell ref="M196:N196"/>
    <mergeCell ref="M187:N187"/>
    <mergeCell ref="M188:N188"/>
    <mergeCell ref="M189:N189"/>
    <mergeCell ref="M190:N190"/>
    <mergeCell ref="M191:N191"/>
    <mergeCell ref="M182:N182"/>
    <mergeCell ref="M183:N183"/>
    <mergeCell ref="M184:N184"/>
    <mergeCell ref="M185:N185"/>
    <mergeCell ref="M186:N186"/>
    <mergeCell ref="M177:N177"/>
    <mergeCell ref="M178:N178"/>
    <mergeCell ref="M179:N179"/>
    <mergeCell ref="M180:N180"/>
    <mergeCell ref="M181:N181"/>
    <mergeCell ref="M172:N172"/>
    <mergeCell ref="M173:N173"/>
    <mergeCell ref="M174:N174"/>
    <mergeCell ref="M175:N175"/>
    <mergeCell ref="M176:N176"/>
    <mergeCell ref="M167:N167"/>
    <mergeCell ref="M168:N168"/>
    <mergeCell ref="M169:N169"/>
    <mergeCell ref="M170:N170"/>
    <mergeCell ref="M171:N171"/>
    <mergeCell ref="M162:N162"/>
    <mergeCell ref="M163:N163"/>
    <mergeCell ref="M164:N164"/>
    <mergeCell ref="M165:N165"/>
    <mergeCell ref="M166:N166"/>
    <mergeCell ref="M157:N157"/>
    <mergeCell ref="M158:N158"/>
    <mergeCell ref="M159:N159"/>
    <mergeCell ref="M160:N160"/>
    <mergeCell ref="M161:N161"/>
    <mergeCell ref="M152:N152"/>
    <mergeCell ref="M153:N153"/>
    <mergeCell ref="M154:N154"/>
    <mergeCell ref="M155:N155"/>
    <mergeCell ref="M156:N156"/>
    <mergeCell ref="M147:N147"/>
    <mergeCell ref="M148:N148"/>
    <mergeCell ref="M149:N149"/>
    <mergeCell ref="M150:N150"/>
    <mergeCell ref="M151:N151"/>
    <mergeCell ref="M142:N142"/>
    <mergeCell ref="M143:N143"/>
    <mergeCell ref="M144:N144"/>
    <mergeCell ref="M145:N145"/>
    <mergeCell ref="M146:N146"/>
    <mergeCell ref="M137:N137"/>
    <mergeCell ref="M138:N138"/>
    <mergeCell ref="M139:N139"/>
    <mergeCell ref="M140:N140"/>
    <mergeCell ref="M141:N141"/>
    <mergeCell ref="M132:N132"/>
    <mergeCell ref="M133:N133"/>
    <mergeCell ref="M134:N134"/>
    <mergeCell ref="M135:N135"/>
    <mergeCell ref="M136:N136"/>
    <mergeCell ref="M127:N127"/>
    <mergeCell ref="M128:N128"/>
    <mergeCell ref="M129:N129"/>
    <mergeCell ref="M130:N130"/>
    <mergeCell ref="M131:N131"/>
    <mergeCell ref="M121:N121"/>
    <mergeCell ref="M123:N123"/>
    <mergeCell ref="M124:N124"/>
    <mergeCell ref="M125:N125"/>
    <mergeCell ref="M126:N126"/>
    <mergeCell ref="M122:N122"/>
    <mergeCell ref="M116:N116"/>
    <mergeCell ref="M117:N117"/>
    <mergeCell ref="M118:N118"/>
    <mergeCell ref="M119:N119"/>
    <mergeCell ref="M120:N120"/>
    <mergeCell ref="M111:N111"/>
    <mergeCell ref="M112:N112"/>
    <mergeCell ref="M113:N113"/>
    <mergeCell ref="M114:N114"/>
    <mergeCell ref="M115:N115"/>
    <mergeCell ref="M110:N110"/>
    <mergeCell ref="M100:N100"/>
    <mergeCell ref="M101:N101"/>
    <mergeCell ref="M102:N102"/>
    <mergeCell ref="M103:N103"/>
    <mergeCell ref="M104:N104"/>
    <mergeCell ref="M105:N105"/>
    <mergeCell ref="M106:N106"/>
    <mergeCell ref="M107:N107"/>
    <mergeCell ref="M108:N108"/>
    <mergeCell ref="M109:N109"/>
    <mergeCell ref="M91:N91"/>
    <mergeCell ref="M86:N86"/>
    <mergeCell ref="M87:N87"/>
    <mergeCell ref="M88:N88"/>
    <mergeCell ref="M89:N89"/>
    <mergeCell ref="M90:N90"/>
    <mergeCell ref="M99:N99"/>
    <mergeCell ref="A81:B81"/>
    <mergeCell ref="A82:B82"/>
    <mergeCell ref="A83:B83"/>
    <mergeCell ref="M93:N93"/>
    <mergeCell ref="M94:N94"/>
    <mergeCell ref="M95:N95"/>
    <mergeCell ref="M96:N96"/>
    <mergeCell ref="M97:N97"/>
    <mergeCell ref="M98:N98"/>
    <mergeCell ref="M92:N92"/>
    <mergeCell ref="M81:N81"/>
    <mergeCell ref="M82:N82"/>
    <mergeCell ref="M83:N83"/>
    <mergeCell ref="M84:N84"/>
    <mergeCell ref="M85:N85"/>
  </mergeCells>
  <phoneticPr fontId="1"/>
  <conditionalFormatting sqref="G2 G48 G67">
    <cfRule type="expression" dxfId="243" priority="150">
      <formula>IF(MONTH(G2:G31)=MONTH(TODAY()),TRUE,FALSE)</formula>
    </cfRule>
    <cfRule type="expression" dxfId="242" priority="149">
      <formula>IF(MONTH(G2:G31)=MONTH(TODAY())+6,TRUE,FALSE)</formula>
    </cfRule>
  </conditionalFormatting>
  <conditionalFormatting sqref="G3 G38 G56 G61 G63:G64">
    <cfRule type="expression" dxfId="241" priority="311">
      <formula>IF(MONTH(G3:G34)=MONTH(TODAY()),TRUE,FALSE)</formula>
    </cfRule>
    <cfRule type="expression" dxfId="240" priority="310">
      <formula>IF(MONTH(G3:G34)=MONTH(TODAY())+6,TRUE,FALSE)</formula>
    </cfRule>
  </conditionalFormatting>
  <conditionalFormatting sqref="G4">
    <cfRule type="expression" dxfId="239" priority="86">
      <formula>IF(MONTH(G4:G34)=MONTH(TODAY()),TRUE,FALSE)</formula>
    </cfRule>
    <cfRule type="expression" dxfId="238" priority="85">
      <formula>IF(MONTH(G4:G34)=MONTH(TODAY())+6,TRUE,FALSE)</formula>
    </cfRule>
  </conditionalFormatting>
  <conditionalFormatting sqref="G5:G7">
    <cfRule type="expression" dxfId="237" priority="52">
      <formula>IF(MONTH(G5:G36)=MONTH(TODAY()),TRUE,FALSE)</formula>
    </cfRule>
    <cfRule type="expression" dxfId="236" priority="51">
      <formula>IF(MONTH(G5:G36)=MONTH(TODAY())+6,TRUE,FALSE)</formula>
    </cfRule>
  </conditionalFormatting>
  <conditionalFormatting sqref="G8">
    <cfRule type="expression" dxfId="235" priority="338">
      <formula>IF(MONTH(G4:G34)=MONTH(TODAY()),TRUE,FALSE)</formula>
    </cfRule>
    <cfRule type="expression" dxfId="234" priority="337">
      <formula>IF(MONTH(G4:G34)=MONTH(TODAY())+6,TRUE,FALSE)</formula>
    </cfRule>
  </conditionalFormatting>
  <conditionalFormatting sqref="G9">
    <cfRule type="expression" dxfId="233" priority="87">
      <formula>IF(MONTH(G9:G41)=MONTH(TODAY())+6,TRUE,FALSE)</formula>
    </cfRule>
    <cfRule type="expression" dxfId="232" priority="88">
      <formula>IF(MONTH(G9:G41)=MONTH(TODAY()),TRUE,FALSE)</formula>
    </cfRule>
  </conditionalFormatting>
  <conditionalFormatting sqref="G10:G18">
    <cfRule type="expression" dxfId="231" priority="64">
      <formula>IF(MONTH(G10:G41)=MONTH(TODAY()),TRUE,FALSE)</formula>
    </cfRule>
    <cfRule type="expression" dxfId="230" priority="63">
      <formula>IF(MONTH(G10:G41)=MONTH(TODAY())+6,TRUE,FALSE)</formula>
    </cfRule>
  </conditionalFormatting>
  <conditionalFormatting sqref="G19:G22">
    <cfRule type="expression" dxfId="229" priority="62">
      <formula>IF(MONTH(G19:G52)=MONTH(TODAY()),TRUE,FALSE)</formula>
    </cfRule>
    <cfRule type="expression" dxfId="228" priority="61">
      <formula>IF(MONTH(G19:G52)=MONTH(TODAY())+6,TRUE,FALSE)</formula>
    </cfRule>
  </conditionalFormatting>
  <conditionalFormatting sqref="G23:G24">
    <cfRule type="expression" dxfId="227" priority="66">
      <formula>IF(MONTH(G23:G54)=MONTH(TODAY()),TRUE,FALSE)</formula>
    </cfRule>
    <cfRule type="expression" dxfId="226" priority="65">
      <formula>IF(MONTH(G23:G54)=MONTH(TODAY())+6,TRUE,FALSE)</formula>
    </cfRule>
  </conditionalFormatting>
  <conditionalFormatting sqref="G25">
    <cfRule type="expression" dxfId="225" priority="246">
      <formula>IF(MONTH(G25:G57)=MONTH(TODAY()),TRUE,FALSE)</formula>
    </cfRule>
    <cfRule type="expression" dxfId="224" priority="245">
      <formula>IF(MONTH(G25:G57)=MONTH(TODAY())+6,TRUE,FALSE)</formula>
    </cfRule>
  </conditionalFormatting>
  <conditionalFormatting sqref="G26:G28">
    <cfRule type="expression" dxfId="223" priority="250">
      <formula>IF(MONTH(G26:G57)=MONTH(TODAY()),TRUE,FALSE)</formula>
    </cfRule>
    <cfRule type="expression" dxfId="222" priority="249">
      <formula>IF(MONTH(G26:G57)=MONTH(TODAY())+6,TRUE,FALSE)</formula>
    </cfRule>
  </conditionalFormatting>
  <conditionalFormatting sqref="G29">
    <cfRule type="expression" dxfId="221" priority="125">
      <formula>IF(MONTH(G29:G63)=MONTH(TODAY())+6,TRUE,FALSE)</formula>
    </cfRule>
    <cfRule type="expression" dxfId="220" priority="126">
      <formula>IF(MONTH(G29:G63)=MONTH(TODAY()),TRUE,FALSE)</formula>
    </cfRule>
  </conditionalFormatting>
  <conditionalFormatting sqref="G30">
    <cfRule type="expression" dxfId="219" priority="177">
      <formula>IF(MONTH(G30:G62)=MONTH(TODAY())+6,TRUE,FALSE)</formula>
    </cfRule>
    <cfRule type="expression" dxfId="218" priority="178">
      <formula>IF(MONTH(G30:G62)=MONTH(TODAY()),TRUE,FALSE)</formula>
    </cfRule>
  </conditionalFormatting>
  <conditionalFormatting sqref="G31:G32 G35:G37 G62">
    <cfRule type="expression" dxfId="217" priority="157">
      <formula>IF(MONTH(G31:G64)=MONTH(TODAY())+6,TRUE,FALSE)</formula>
    </cfRule>
    <cfRule type="expression" dxfId="216" priority="158">
      <formula>IF(MONTH(G31:G64)=MONTH(TODAY()),TRUE,FALSE)</formula>
    </cfRule>
  </conditionalFormatting>
  <conditionalFormatting sqref="G33">
    <cfRule type="expression" dxfId="215" priority="56">
      <formula>IF(MONTH(G33:G64)=MONTH(TODAY()),TRUE,FALSE)</formula>
    </cfRule>
    <cfRule type="expression" dxfId="214" priority="55">
      <formula>IF(MONTH(G33:G64)=MONTH(TODAY())+6,TRUE,FALSE)</formula>
    </cfRule>
  </conditionalFormatting>
  <conditionalFormatting sqref="G39:G40">
    <cfRule type="expression" dxfId="213" priority="42">
      <formula>IF(MONTH(G39:G67)=MONTH(TODAY()),TRUE,FALSE)</formula>
    </cfRule>
    <cfRule type="expression" dxfId="212" priority="41">
      <formula>IF(MONTH(G39:G67)=MONTH(TODAY())+6,TRUE,FALSE)</formula>
    </cfRule>
  </conditionalFormatting>
  <conditionalFormatting sqref="G41:G42">
    <cfRule type="expression" dxfId="211" priority="38">
      <formula>IF(MONTH(G41:G71)=MONTH(TODAY()),TRUE,FALSE)</formula>
    </cfRule>
    <cfRule type="expression" dxfId="210" priority="37">
      <formula>IF(MONTH(G41:G71)=MONTH(TODAY())+6,TRUE,FALSE)</formula>
    </cfRule>
  </conditionalFormatting>
  <conditionalFormatting sqref="G43">
    <cfRule type="expression" dxfId="209" priority="113">
      <formula>IF(MONTH(G43:G77)=MONTH(TODAY())+6,TRUE,FALSE)</formula>
    </cfRule>
    <cfRule type="expression" dxfId="208" priority="114">
      <formula>IF(MONTH(G43:G77)=MONTH(TODAY()),TRUE,FALSE)</formula>
    </cfRule>
  </conditionalFormatting>
  <conditionalFormatting sqref="G44:G45 G108:G110 G112:G113 G115:G116 G119:G120">
    <cfRule type="expression" dxfId="207" priority="225">
      <formula>IF(MONTH(G44:G76)=MONTH(TODAY())+6,TRUE,FALSE)</formula>
    </cfRule>
    <cfRule type="expression" dxfId="206" priority="226">
      <formula>IF(MONTH(G44:G76)=MONTH(TODAY()),TRUE,FALSE)</formula>
    </cfRule>
  </conditionalFormatting>
  <conditionalFormatting sqref="G46">
    <cfRule type="expression" dxfId="205" priority="22">
      <formula>IF(MONTH(G46:G74)=MONTH(TODAY()),TRUE,FALSE)</formula>
    </cfRule>
    <cfRule type="expression" dxfId="204" priority="21">
      <formula>IF(MONTH(G46:G74)=MONTH(TODAY())+6,TRUE,FALSE)</formula>
    </cfRule>
  </conditionalFormatting>
  <conditionalFormatting sqref="G47 G52">
    <cfRule type="expression" dxfId="203" priority="398">
      <formula>IF(MONTH(G47:G77)=MONTH(TODAY()),TRUE,FALSE)</formula>
    </cfRule>
    <cfRule type="expression" dxfId="202" priority="397">
      <formula>IF(MONTH(G47:G77)=MONTH(TODAY())+6,TRUE,FALSE)</formula>
    </cfRule>
  </conditionalFormatting>
  <conditionalFormatting sqref="G49 G53:G54 G57 G71 G76">
    <cfRule type="expression" dxfId="201" priority="221">
      <formula>IF(MONTH(G49:G77)=MONTH(TODAY())+6,TRUE,FALSE)</formula>
    </cfRule>
    <cfRule type="expression" dxfId="200" priority="222">
      <formula>IF(MONTH(G49:G77)=MONTH(TODAY()),TRUE,FALSE)</formula>
    </cfRule>
  </conditionalFormatting>
  <conditionalFormatting sqref="G50">
    <cfRule type="expression" dxfId="199" priority="90">
      <formula>IF(MONTH(G50:G82)=MONTH(TODAY()),TRUE,FALSE)</formula>
    </cfRule>
    <cfRule type="expression" dxfId="198" priority="89">
      <formula>IF(MONTH(G50:G82)=MONTH(TODAY())+6,TRUE,FALSE)</formula>
    </cfRule>
  </conditionalFormatting>
  <conditionalFormatting sqref="G51">
    <cfRule type="expression" dxfId="197" priority="36">
      <formula>IF(MONTH(G51:G79)=MONTH(TODAY()),TRUE,FALSE)</formula>
    </cfRule>
    <cfRule type="expression" dxfId="196" priority="35">
      <formula>IF(MONTH(G51:G79)=MONTH(TODAY())+6,TRUE,FALSE)</formula>
    </cfRule>
  </conditionalFormatting>
  <conditionalFormatting sqref="G55">
    <cfRule type="expression" dxfId="195" priority="12">
      <formula>IF(MONTH(G55:G87)=MONTH(TODAY()),TRUE,FALSE)</formula>
    </cfRule>
    <cfRule type="expression" dxfId="194" priority="11">
      <formula>IF(MONTH(G55:G87)=MONTH(TODAY())+6,TRUE,FALSE)</formula>
    </cfRule>
  </conditionalFormatting>
  <conditionalFormatting sqref="G58">
    <cfRule type="expression" dxfId="193" priority="18">
      <formula>IF(MONTH(G58:G91)=MONTH(TODAY()),TRUE,FALSE)</formula>
    </cfRule>
    <cfRule type="expression" dxfId="192" priority="17">
      <formula>IF(MONTH(G58:G91)=MONTH(TODAY())+6,TRUE,FALSE)</formula>
    </cfRule>
  </conditionalFormatting>
  <conditionalFormatting sqref="G59:G60">
    <cfRule type="expression" dxfId="191" priority="10">
      <formula>IF(MONTH(G59:G87)=MONTH(TODAY()),TRUE,FALSE)</formula>
    </cfRule>
    <cfRule type="expression" dxfId="190" priority="9">
      <formula>IF(MONTH(G59:G87)=MONTH(TODAY())+6,TRUE,FALSE)</formula>
    </cfRule>
  </conditionalFormatting>
  <conditionalFormatting sqref="G65">
    <cfRule type="expression" dxfId="189" priority="4">
      <formula>IF(MONTH(G65:G94)=MONTH(TODAY()),TRUE,FALSE)</formula>
    </cfRule>
    <cfRule type="expression" dxfId="188" priority="3">
      <formula>IF(MONTH(G65:G94)=MONTH(TODAY())+6,TRUE,FALSE)</formula>
    </cfRule>
  </conditionalFormatting>
  <conditionalFormatting sqref="G66">
    <cfRule type="expression" dxfId="187" priority="2">
      <formula>IF(MONTH(G66:G97)=MONTH(TODAY()),TRUE,FALSE)</formula>
    </cfRule>
    <cfRule type="expression" dxfId="186" priority="1">
      <formula>IF(MONTH(G66:G97)=MONTH(TODAY())+6,TRUE,FALSE)</formula>
    </cfRule>
  </conditionalFormatting>
  <conditionalFormatting sqref="G68:G69">
    <cfRule type="expression" dxfId="185" priority="7">
      <formula>IF(MONTH(G68:G96)=MONTH(TODAY())+6,TRUE,FALSE)</formula>
    </cfRule>
    <cfRule type="expression" dxfId="184" priority="8">
      <formula>IF(MONTH(G68:G96)=MONTH(TODAY()),TRUE,FALSE)</formula>
    </cfRule>
  </conditionalFormatting>
  <conditionalFormatting sqref="G70">
    <cfRule type="expression" dxfId="183" priority="223">
      <formula>IF(MONTH(G70:G99)=MONTH(TODAY())+6,TRUE,FALSE)</formula>
    </cfRule>
    <cfRule type="expression" dxfId="182" priority="224">
      <formula>IF(MONTH(G70:G99)=MONTH(TODAY()),TRUE,FALSE)</formula>
    </cfRule>
  </conditionalFormatting>
  <conditionalFormatting sqref="G72:G73">
    <cfRule type="expression" dxfId="181" priority="19">
      <formula>IF(MONTH(G72:G103)=MONTH(TODAY())+6,TRUE,FALSE)</formula>
    </cfRule>
    <cfRule type="expression" dxfId="180" priority="20">
      <formula>IF(MONTH(G72:G103)=MONTH(TODAY()),TRUE,FALSE)</formula>
    </cfRule>
  </conditionalFormatting>
  <conditionalFormatting sqref="G74">
    <cfRule type="expression" dxfId="179" priority="24">
      <formula>IF(MONTH(G74:G107)=MONTH(TODAY()),TRUE,FALSE)</formula>
    </cfRule>
    <cfRule type="expression" dxfId="178" priority="23">
      <formula>IF(MONTH(G74:G107)=MONTH(TODAY())+6,TRUE,FALSE)</formula>
    </cfRule>
  </conditionalFormatting>
  <conditionalFormatting sqref="G75">
    <cfRule type="expression" dxfId="177" priority="33">
      <formula>IF(MONTH(G75:G104)=MONTH(TODAY())+6,TRUE,FALSE)</formula>
    </cfRule>
    <cfRule type="expression" dxfId="176" priority="34">
      <formula>IF(MONTH(G75:G104)=MONTH(TODAY()),TRUE,FALSE)</formula>
    </cfRule>
  </conditionalFormatting>
  <conditionalFormatting sqref="G87:G93">
    <cfRule type="expression" dxfId="175" priority="357">
      <formula>IF(MONTH(G87:G109)=MONTH(TODAY())+6,TRUE,FALSE)</formula>
    </cfRule>
    <cfRule type="expression" dxfId="174" priority="358">
      <formula>IF(MONTH(G87:G109)=MONTH(TODAY()),TRUE,FALSE)</formula>
    </cfRule>
  </conditionalFormatting>
  <conditionalFormatting sqref="G94:G99 G103:G105">
    <cfRule type="expression" dxfId="173" priority="111">
      <formula>IF(MONTH(G94:G127)=MONTH(TODAY())+6,TRUE,FALSE)</formula>
    </cfRule>
    <cfRule type="expression" dxfId="172" priority="112">
      <formula>IF(MONTH(G94:G127)=MONTH(TODAY()),TRUE,FALSE)</formula>
    </cfRule>
  </conditionalFormatting>
  <conditionalFormatting sqref="G100">
    <cfRule type="expression" dxfId="171" priority="244">
      <formula>IF(MONTH(G100:G136)=MONTH(TODAY()),TRUE,FALSE)</formula>
    </cfRule>
    <cfRule type="expression" dxfId="170" priority="243">
      <formula>IF(MONTH(G100:G136)=MONTH(TODAY())+6,TRUE,FALSE)</formula>
    </cfRule>
  </conditionalFormatting>
  <conditionalFormatting sqref="G101">
    <cfRule type="expression" dxfId="169" priority="240">
      <formula>IF(MONTH(G101:G134)=MONTH(TODAY()),TRUE,FALSE)</formula>
    </cfRule>
    <cfRule type="expression" dxfId="168" priority="239">
      <formula>IF(MONTH(G101:G134)=MONTH(TODAY())+6,TRUE,FALSE)</formula>
    </cfRule>
  </conditionalFormatting>
  <conditionalFormatting sqref="G102">
    <cfRule type="expression" dxfId="167" priority="238">
      <formula>IF(MONTH(G102:G138)=MONTH(TODAY()),TRUE,FALSE)</formula>
    </cfRule>
    <cfRule type="expression" dxfId="166" priority="237">
      <formula>IF(MONTH(G102:G138)=MONTH(TODAY())+6,TRUE,FALSE)</formula>
    </cfRule>
  </conditionalFormatting>
  <conditionalFormatting sqref="G106">
    <cfRule type="expression" dxfId="165" priority="231">
      <formula>IF(MONTH(G106:G141)=MONTH(TODAY())+6,TRUE,FALSE)</formula>
    </cfRule>
    <cfRule type="expression" dxfId="164" priority="232">
      <formula>IF(MONTH(G106:G141)=MONTH(TODAY()),TRUE,FALSE)</formula>
    </cfRule>
  </conditionalFormatting>
  <conditionalFormatting sqref="G107">
    <cfRule type="expression" dxfId="163" priority="229">
      <formula>IF(MONTH(G107:G141)=MONTH(TODAY())+6,TRUE,FALSE)</formula>
    </cfRule>
    <cfRule type="expression" dxfId="162" priority="230">
      <formula>IF(MONTH(G107:G141)=MONTH(TODAY()),TRUE,FALSE)</formula>
    </cfRule>
  </conditionalFormatting>
  <conditionalFormatting sqref="G111">
    <cfRule type="expression" dxfId="161" priority="163">
      <formula>IF(MONTH(G111:G140)=MONTH(TODAY())+6,TRUE,FALSE)</formula>
    </cfRule>
    <cfRule type="expression" dxfId="160" priority="164">
      <formula>IF(MONTH(G111:G140)=MONTH(TODAY()),TRUE,FALSE)</formula>
    </cfRule>
  </conditionalFormatting>
  <conditionalFormatting sqref="G114">
    <cfRule type="expression" dxfId="159" priority="148">
      <formula>IF(MONTH(G114:G147)=MONTH(TODAY()),TRUE,FALSE)</formula>
    </cfRule>
    <cfRule type="expression" dxfId="158" priority="147">
      <formula>IF(MONTH(G114:G147)=MONTH(TODAY())+6,TRUE,FALSE)</formula>
    </cfRule>
  </conditionalFormatting>
  <conditionalFormatting sqref="G117">
    <cfRule type="expression" dxfId="157" priority="135">
      <formula>IF(MONTH(G117:G146)=MONTH(TODAY())+6,TRUE,FALSE)</formula>
    </cfRule>
    <cfRule type="expression" dxfId="156" priority="136">
      <formula>IF(MONTH(G117:G146)=MONTH(TODAY()),TRUE,FALSE)</formula>
    </cfRule>
  </conditionalFormatting>
  <conditionalFormatting sqref="G118">
    <cfRule type="expression" dxfId="155" priority="120">
      <formula>IF(MONTH(G118:G148)=MONTH(TODAY()),TRUE,FALSE)</formula>
    </cfRule>
    <cfRule type="expression" dxfId="154" priority="119">
      <formula>IF(MONTH(G118:G148)=MONTH(TODAY())+6,TRUE,FALSE)</formula>
    </cfRule>
  </conditionalFormatting>
  <conditionalFormatting sqref="G121">
    <cfRule type="expression" dxfId="153" priority="108">
      <formula>IF(MONTH(G121:G156)=MONTH(TODAY()),TRUE,FALSE)</formula>
    </cfRule>
    <cfRule type="expression" dxfId="152" priority="107">
      <formula>IF(MONTH(G121:G156)=MONTH(TODAY())+6,TRUE,FALSE)</formula>
    </cfRule>
  </conditionalFormatting>
  <conditionalFormatting sqref="G122">
    <cfRule type="expression" dxfId="151" priority="102">
      <formula>IF(MONTH(G122:G154)=MONTH(TODAY()),TRUE,FALSE)</formula>
    </cfRule>
    <cfRule type="expression" dxfId="150" priority="101">
      <formula>IF(MONTH(G122:G154)=MONTH(TODAY())+6,TRUE,FALSE)</formula>
    </cfRule>
  </conditionalFormatting>
  <conditionalFormatting sqref="G123">
    <cfRule type="expression" dxfId="149" priority="106">
      <formula>IF(MONTH(G123:G154)=MONTH(TODAY()),TRUE,FALSE)</formula>
    </cfRule>
    <cfRule type="expression" dxfId="148" priority="105">
      <formula>IF(MONTH(G123:G154)=MONTH(TODAY())+6,TRUE,FALSE)</formula>
    </cfRule>
  </conditionalFormatting>
  <conditionalFormatting sqref="G124">
    <cfRule type="expression" dxfId="147" priority="100">
      <formula>IF(MONTH(G124:G152)=MONTH(TODAY()),TRUE,FALSE)</formula>
    </cfRule>
    <cfRule type="expression" dxfId="146" priority="99">
      <formula>IF(MONTH(G124:G152)=MONTH(TODAY())+6,TRUE,FALSE)</formula>
    </cfRule>
  </conditionalFormatting>
  <conditionalFormatting sqref="G125">
    <cfRule type="expression" dxfId="145" priority="92">
      <formula>IF(MONTH(G125:G156)=MONTH(TODAY()),TRUE,FALSE)</formula>
    </cfRule>
    <cfRule type="expression" dxfId="144" priority="91">
      <formula>IF(MONTH(G125:G156)=MONTH(TODAY())+6,TRUE,FALSE)</formula>
    </cfRule>
  </conditionalFormatting>
  <conditionalFormatting sqref="G126">
    <cfRule type="expression" dxfId="143" priority="73">
      <formula>IF(MONTH(G126:G158)=MONTH(TODAY())+6,TRUE,FALSE)</formula>
    </cfRule>
    <cfRule type="expression" dxfId="142" priority="74">
      <formula>IF(MONTH(G126:G158)=MONTH(TODAY()),TRUE,FALSE)</formula>
    </cfRule>
  </conditionalFormatting>
  <conditionalFormatting sqref="G127:G128">
    <cfRule type="expression" dxfId="141" priority="69">
      <formula>IF(MONTH(G127:G155)=MONTH(TODAY())+6,TRUE,FALSE)</formula>
    </cfRule>
    <cfRule type="expression" dxfId="140" priority="70">
      <formula>IF(MONTH(G127:G155)=MONTH(TODAY()),TRUE,FALSE)</formula>
    </cfRule>
  </conditionalFormatting>
  <conditionalFormatting sqref="G129">
    <cfRule type="expression" dxfId="139" priority="68">
      <formula>IF(MONTH(G129:G160)=MONTH(TODAY()),TRUE,FALSE)</formula>
    </cfRule>
    <cfRule type="expression" dxfId="138" priority="67">
      <formula>IF(MONTH(G129:G160)=MONTH(TODAY())+6,TRUE,FALSE)</formula>
    </cfRule>
  </conditionalFormatting>
  <conditionalFormatting sqref="G130">
    <cfRule type="expression" dxfId="137" priority="59">
      <formula>IF(MONTH(G130:G163)=MONTH(TODAY())+6,TRUE,FALSE)</formula>
    </cfRule>
    <cfRule type="expression" dxfId="136" priority="60">
      <formula>IF(MONTH(G130:G163)=MONTH(TODAY()),TRUE,FALSE)</formula>
    </cfRule>
  </conditionalFormatting>
  <conditionalFormatting sqref="G131">
    <cfRule type="expression" dxfId="135" priority="58">
      <formula>IF(MONTH(G131:G163)=MONTH(TODAY()),TRUE,FALSE)</formula>
    </cfRule>
    <cfRule type="expression" dxfId="134" priority="57">
      <formula>IF(MONTH(G131:G163)=MONTH(TODAY())+6,TRUE,FALSE)</formula>
    </cfRule>
  </conditionalFormatting>
  <conditionalFormatting sqref="G132">
    <cfRule type="expression" dxfId="133" priority="54">
      <formula>IF(MONTH(G126:G159)=MONTH(TODAY()),TRUE,FALSE)</formula>
    </cfRule>
    <cfRule type="expression" dxfId="132" priority="53">
      <formula>IF(MONTH(G126:G159)=MONTH(TODAY())+6,TRUE,FALSE)</formula>
    </cfRule>
  </conditionalFormatting>
  <conditionalFormatting sqref="G133">
    <cfRule type="expression" dxfId="131" priority="30">
      <formula>IF(MONTH(G133:G161)=MONTH(TODAY()),TRUE,FALSE)</formula>
    </cfRule>
    <cfRule type="expression" dxfId="130" priority="29">
      <formula>IF(MONTH(G133:G161)=MONTH(TODAY())+6,TRUE,FALSE)</formula>
    </cfRule>
  </conditionalFormatting>
  <conditionalFormatting sqref="G134:G135">
    <cfRule type="expression" dxfId="129" priority="5">
      <formula>IF(MONTH(G134:G165)=MONTH(TODAY())+6,TRUE,FALSE)</formula>
    </cfRule>
    <cfRule type="expression" dxfId="128" priority="6">
      <formula>IF(MONTH(G134:G165)=MONTH(TODAY()),TRUE,FALSE)</formula>
    </cfRule>
  </conditionalFormatting>
  <conditionalFormatting sqref="L2:X33 K34:W34 L35:X76">
    <cfRule type="expression" dxfId="127" priority="318">
      <formula>K2="更新"</formula>
    </cfRule>
    <cfRule type="cellIs" dxfId="126" priority="313" operator="equal">
      <formula>"ﾓﾆﾀ"</formula>
    </cfRule>
  </conditionalFormatting>
  <printOptions horizontalCentered="1"/>
  <pageMargins left="0.25" right="0.25" top="0.75" bottom="0.75" header="0.3" footer="0.3"/>
  <pageSetup paperSize="9" scale="13"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93C7-4C1A-4007-A3D6-FFCFC758F109}">
  <sheetPr codeName="Sheet1"/>
  <dimension ref="A1:BF61"/>
  <sheetViews>
    <sheetView zoomScale="70" zoomScaleNormal="70" workbookViewId="0">
      <pane ySplit="4" topLeftCell="A5" activePane="bottomLeft" state="frozen"/>
      <selection pane="bottomLeft" activeCell="Q21" sqref="Q21"/>
    </sheetView>
  </sheetViews>
  <sheetFormatPr defaultColWidth="8.69921875" defaultRowHeight="18" x14ac:dyDescent="0.45"/>
  <cols>
    <col min="1" max="1" width="4.69921875" style="48" customWidth="1"/>
    <col min="2" max="2" width="17.89843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20.1992187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9</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6.4" customHeight="1" x14ac:dyDescent="0.45">
      <c r="A3" s="168"/>
      <c r="B3" s="170" t="s">
        <v>0</v>
      </c>
      <c r="C3" s="165" t="s">
        <v>309</v>
      </c>
      <c r="D3" s="165"/>
      <c r="E3" s="165"/>
      <c r="F3" s="165"/>
      <c r="G3" s="165"/>
      <c r="H3" s="165"/>
      <c r="I3" s="165"/>
      <c r="J3" s="165"/>
      <c r="K3" s="165" t="s">
        <v>310</v>
      </c>
      <c r="L3" s="165"/>
      <c r="M3" s="52">
        <f>BE4</f>
        <v>46266</v>
      </c>
      <c r="N3" s="52">
        <f t="shared" ref="N3:AQ3" si="0">IF(M3=$BE$6,"",IF(M3="","",M3+1))</f>
        <v>46267</v>
      </c>
      <c r="O3" s="52">
        <f t="shared" si="0"/>
        <v>46268</v>
      </c>
      <c r="P3" s="52">
        <f t="shared" si="0"/>
        <v>46269</v>
      </c>
      <c r="Q3" s="52">
        <f t="shared" si="0"/>
        <v>46270</v>
      </c>
      <c r="R3" s="52">
        <f t="shared" si="0"/>
        <v>46271</v>
      </c>
      <c r="S3" s="52">
        <f t="shared" si="0"/>
        <v>46272</v>
      </c>
      <c r="T3" s="52">
        <f t="shared" si="0"/>
        <v>46273</v>
      </c>
      <c r="U3" s="52">
        <f t="shared" si="0"/>
        <v>46274</v>
      </c>
      <c r="V3" s="52">
        <f t="shared" si="0"/>
        <v>46275</v>
      </c>
      <c r="W3" s="52">
        <f t="shared" si="0"/>
        <v>46276</v>
      </c>
      <c r="X3" s="52">
        <f t="shared" si="0"/>
        <v>46277</v>
      </c>
      <c r="Y3" s="52">
        <f t="shared" si="0"/>
        <v>46278</v>
      </c>
      <c r="Z3" s="52">
        <f t="shared" si="0"/>
        <v>46279</v>
      </c>
      <c r="AA3" s="52">
        <f t="shared" si="0"/>
        <v>46280</v>
      </c>
      <c r="AB3" s="52">
        <f t="shared" si="0"/>
        <v>46281</v>
      </c>
      <c r="AC3" s="52">
        <f t="shared" si="0"/>
        <v>46282</v>
      </c>
      <c r="AD3" s="52">
        <f t="shared" si="0"/>
        <v>46283</v>
      </c>
      <c r="AE3" s="52">
        <f t="shared" si="0"/>
        <v>46284</v>
      </c>
      <c r="AF3" s="52">
        <f t="shared" si="0"/>
        <v>46285</v>
      </c>
      <c r="AG3" s="52">
        <f t="shared" si="0"/>
        <v>46286</v>
      </c>
      <c r="AH3" s="52">
        <f t="shared" si="0"/>
        <v>46287</v>
      </c>
      <c r="AI3" s="52">
        <f t="shared" si="0"/>
        <v>46288</v>
      </c>
      <c r="AJ3" s="52">
        <f t="shared" si="0"/>
        <v>46289</v>
      </c>
      <c r="AK3" s="52">
        <f t="shared" si="0"/>
        <v>46290</v>
      </c>
      <c r="AL3" s="52">
        <f t="shared" si="0"/>
        <v>46291</v>
      </c>
      <c r="AM3" s="52">
        <f t="shared" si="0"/>
        <v>46292</v>
      </c>
      <c r="AN3" s="52">
        <f t="shared" si="0"/>
        <v>46293</v>
      </c>
      <c r="AO3" s="52">
        <f t="shared" si="0"/>
        <v>46294</v>
      </c>
      <c r="AP3" s="52">
        <f t="shared" si="0"/>
        <v>46295</v>
      </c>
      <c r="AQ3" s="52" t="str">
        <f t="shared" si="0"/>
        <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火</v>
      </c>
      <c r="N4" s="153" t="str">
        <f t="shared" si="1"/>
        <v>水</v>
      </c>
      <c r="O4" s="153" t="str">
        <f t="shared" si="1"/>
        <v>木</v>
      </c>
      <c r="P4" s="153" t="str">
        <f t="shared" si="1"/>
        <v>金</v>
      </c>
      <c r="Q4" s="153" t="str">
        <f t="shared" si="1"/>
        <v>土</v>
      </c>
      <c r="R4" s="153" t="str">
        <f t="shared" si="1"/>
        <v>日</v>
      </c>
      <c r="S4" s="153" t="str">
        <f t="shared" si="1"/>
        <v>月</v>
      </c>
      <c r="T4" s="153" t="str">
        <f t="shared" si="1"/>
        <v>火</v>
      </c>
      <c r="U4" s="153" t="str">
        <f t="shared" si="1"/>
        <v>水</v>
      </c>
      <c r="V4" s="153" t="str">
        <f t="shared" si="1"/>
        <v>木</v>
      </c>
      <c r="W4" s="153" t="str">
        <f t="shared" si="1"/>
        <v>金</v>
      </c>
      <c r="X4" s="153" t="str">
        <f t="shared" si="1"/>
        <v>土</v>
      </c>
      <c r="Y4" s="153" t="str">
        <f t="shared" si="1"/>
        <v>日</v>
      </c>
      <c r="Z4" s="153" t="str">
        <f t="shared" si="1"/>
        <v>月</v>
      </c>
      <c r="AA4" s="153" t="str">
        <f t="shared" si="1"/>
        <v>火</v>
      </c>
      <c r="AB4" s="153" t="str">
        <f t="shared" si="1"/>
        <v>水</v>
      </c>
      <c r="AC4" s="153" t="str">
        <f t="shared" si="1"/>
        <v>木</v>
      </c>
      <c r="AD4" s="153" t="str">
        <f t="shared" si="1"/>
        <v>金</v>
      </c>
      <c r="AE4" s="153" t="str">
        <f t="shared" si="1"/>
        <v>土</v>
      </c>
      <c r="AF4" s="153" t="str">
        <f t="shared" si="1"/>
        <v>日</v>
      </c>
      <c r="AG4" s="153" t="str">
        <f t="shared" si="1"/>
        <v>月</v>
      </c>
      <c r="AH4" s="153" t="str">
        <f t="shared" si="1"/>
        <v>火</v>
      </c>
      <c r="AI4" s="153" t="str">
        <f t="shared" si="1"/>
        <v>水</v>
      </c>
      <c r="AJ4" s="153" t="str">
        <f t="shared" si="1"/>
        <v>木</v>
      </c>
      <c r="AK4" s="153" t="str">
        <f t="shared" si="1"/>
        <v>金</v>
      </c>
      <c r="AL4" s="153" t="str">
        <f t="shared" si="1"/>
        <v>土</v>
      </c>
      <c r="AM4" s="153" t="str">
        <f t="shared" si="1"/>
        <v>日</v>
      </c>
      <c r="AN4" s="153" t="str">
        <f t="shared" si="1"/>
        <v>月</v>
      </c>
      <c r="AO4" s="153" t="str">
        <f t="shared" si="1"/>
        <v>火</v>
      </c>
      <c r="AP4" s="153" t="str">
        <f t="shared" si="1"/>
        <v>水</v>
      </c>
      <c r="AQ4" s="153" t="str">
        <f t="shared" si="1"/>
        <v/>
      </c>
      <c r="AR4" s="153" t="s">
        <v>318</v>
      </c>
      <c r="AS4" s="153" t="s">
        <v>319</v>
      </c>
      <c r="AT4" s="153" t="s">
        <v>320</v>
      </c>
      <c r="AU4" s="153" t="s">
        <v>321</v>
      </c>
      <c r="AV4" s="165"/>
      <c r="AW4" s="171"/>
      <c r="AX4" s="165"/>
      <c r="AY4" s="165"/>
      <c r="AZ4" s="165"/>
      <c r="BA4" s="165"/>
      <c r="BB4" s="164"/>
      <c r="BC4" s="167"/>
      <c r="BD4" s="164"/>
      <c r="BE4" s="62">
        <f>DATE(P1,T1,1)</f>
        <v>46266</v>
      </c>
      <c r="BF4" s="55"/>
    </row>
    <row r="5" spans="1:58" s="54" customFormat="1" ht="24" customHeight="1" x14ac:dyDescent="0.45">
      <c r="A5" s="72">
        <v>1</v>
      </c>
      <c r="B5" s="57" t="s">
        <v>322</v>
      </c>
      <c r="C5" s="57"/>
      <c r="D5" s="57"/>
      <c r="E5" s="57"/>
      <c r="F5" s="57"/>
      <c r="G5" s="57"/>
      <c r="H5" s="57"/>
      <c r="I5" s="57"/>
      <c r="J5" s="57"/>
      <c r="K5" s="57"/>
      <c r="L5" s="57"/>
      <c r="M5" s="56" t="str">
        <f>IF(M$4="土","昼",IF(M$4="日","○",IF(M$4="月","夕","")))</f>
        <v/>
      </c>
      <c r="N5" s="56" t="str">
        <f t="shared" ref="N5:AQ5" si="2">IF(N$4="土","昼",IF(N$4="日","○",IF(N$4="月","夕","")))</f>
        <v/>
      </c>
      <c r="O5" s="56" t="str">
        <f t="shared" si="2"/>
        <v/>
      </c>
      <c r="P5" s="56" t="str">
        <f t="shared" si="2"/>
        <v/>
      </c>
      <c r="Q5" s="56" t="str">
        <f t="shared" si="2"/>
        <v>昼</v>
      </c>
      <c r="R5" s="56" t="str">
        <f t="shared" si="2"/>
        <v>○</v>
      </c>
      <c r="S5" s="56" t="str">
        <f t="shared" si="2"/>
        <v>夕</v>
      </c>
      <c r="T5" s="56" t="str">
        <f t="shared" si="2"/>
        <v/>
      </c>
      <c r="U5" s="56" t="str">
        <f t="shared" si="2"/>
        <v/>
      </c>
      <c r="V5" s="56" t="str">
        <f t="shared" si="2"/>
        <v/>
      </c>
      <c r="W5" s="56" t="str">
        <f t="shared" si="2"/>
        <v/>
      </c>
      <c r="X5" s="56" t="str">
        <f t="shared" si="2"/>
        <v>昼</v>
      </c>
      <c r="Y5" s="56" t="str">
        <f t="shared" si="2"/>
        <v>○</v>
      </c>
      <c r="Z5" s="56" t="str">
        <f t="shared" si="2"/>
        <v>夕</v>
      </c>
      <c r="AA5" s="56" t="str">
        <f t="shared" si="2"/>
        <v/>
      </c>
      <c r="AB5" s="56" t="str">
        <f t="shared" si="2"/>
        <v/>
      </c>
      <c r="AC5" s="56" t="str">
        <f t="shared" si="2"/>
        <v/>
      </c>
      <c r="AD5" s="56" t="str">
        <f t="shared" si="2"/>
        <v/>
      </c>
      <c r="AE5" s="56" t="str">
        <f t="shared" si="2"/>
        <v>昼</v>
      </c>
      <c r="AF5" s="56" t="str">
        <f t="shared" si="2"/>
        <v>○</v>
      </c>
      <c r="AG5" s="56" t="str">
        <f t="shared" si="2"/>
        <v>夕</v>
      </c>
      <c r="AH5" s="56" t="str">
        <f t="shared" si="2"/>
        <v/>
      </c>
      <c r="AI5" s="56" t="str">
        <f t="shared" si="2"/>
        <v/>
      </c>
      <c r="AJ5" s="56" t="str">
        <f t="shared" si="2"/>
        <v/>
      </c>
      <c r="AK5" s="56" t="str">
        <f t="shared" si="2"/>
        <v/>
      </c>
      <c r="AL5" s="56" t="str">
        <f t="shared" si="2"/>
        <v>昼</v>
      </c>
      <c r="AM5" s="56" t="str">
        <f t="shared" si="2"/>
        <v>○</v>
      </c>
      <c r="AN5" s="56" t="str">
        <f t="shared" si="2"/>
        <v>夕</v>
      </c>
      <c r="AO5" s="56" t="str">
        <f t="shared" si="2"/>
        <v/>
      </c>
      <c r="AP5" s="56" t="str">
        <f t="shared" si="2"/>
        <v/>
      </c>
      <c r="AQ5" s="56" t="str">
        <f t="shared" si="2"/>
        <v/>
      </c>
      <c r="AR5" s="56">
        <f t="shared" ref="AR5:AR26" si="3">IF(COUNTIF($M5:$AQ5,"昼")=0,"",COUNTIF($M5:$AQ5,"昼"))</f>
        <v>4</v>
      </c>
      <c r="AS5" s="56">
        <f t="shared" ref="AS5:AS26" si="4">IF(COUNTIF($M5:$AQ5,"○")=0,"",COUNTIF($M5:$AQ5,"○"))</f>
        <v>4</v>
      </c>
      <c r="AT5" s="56" t="str">
        <f t="shared" ref="AT5:AT26" si="5">IF(COUNTIF($M5:$AQ5,"お")=0,"",COUNTIF($M5:$AQ5,"お"))</f>
        <v/>
      </c>
      <c r="AU5" s="56">
        <f t="shared" ref="AU5:AU26" si="6">IF(COUNTIF($M5:$AQ5,"夕")=0,"",COUNTIF($M5:$AQ5,"夕"))</f>
        <v>4</v>
      </c>
      <c r="AV5" s="56">
        <f t="shared" ref="AV5:AV26" si="7">IF(COUNTA(M5:AQ5)=0,"",SUM(AR5:AU5))</f>
        <v>12</v>
      </c>
      <c r="AW5" s="56" t="s">
        <v>323</v>
      </c>
      <c r="AX5" s="59" t="s">
        <v>324</v>
      </c>
      <c r="AY5" s="59">
        <v>8025513822</v>
      </c>
      <c r="AZ5" s="59" t="s">
        <v>325</v>
      </c>
      <c r="BA5" s="59">
        <v>8027251721</v>
      </c>
      <c r="BB5" s="66" t="s">
        <v>326</v>
      </c>
      <c r="BC5" s="56">
        <v>3</v>
      </c>
      <c r="BD5" s="88"/>
      <c r="BE5" s="61" t="s">
        <v>327</v>
      </c>
      <c r="BF5" s="55" t="s">
        <v>328</v>
      </c>
    </row>
    <row r="6" spans="1:58" s="54" customFormat="1" ht="24" customHeight="1" x14ac:dyDescent="0.45">
      <c r="A6" s="72">
        <v>2</v>
      </c>
      <c r="B6" s="57" t="s">
        <v>329</v>
      </c>
      <c r="C6" s="57"/>
      <c r="D6" s="57"/>
      <c r="E6" s="57"/>
      <c r="F6" s="57"/>
      <c r="G6" s="57"/>
      <c r="H6" s="57"/>
      <c r="I6" s="57"/>
      <c r="J6" s="57"/>
      <c r="K6" s="57"/>
      <c r="L6" s="57"/>
      <c r="M6" s="56" t="str">
        <f>IF(M$4="土","昼",IF(M$4="日","夕",""))</f>
        <v/>
      </c>
      <c r="N6" s="56" t="str">
        <f t="shared" ref="N6:AQ6" si="8">IF(N$4="土","昼",IF(N$4="日","夕",""))</f>
        <v/>
      </c>
      <c r="O6" s="56" t="str">
        <f t="shared" si="8"/>
        <v/>
      </c>
      <c r="P6" s="56" t="str">
        <f t="shared" si="8"/>
        <v/>
      </c>
      <c r="Q6" s="56" t="str">
        <f t="shared" si="8"/>
        <v>昼</v>
      </c>
      <c r="R6" s="56" t="str">
        <f t="shared" si="8"/>
        <v>夕</v>
      </c>
      <c r="S6" s="56" t="str">
        <f t="shared" si="8"/>
        <v/>
      </c>
      <c r="T6" s="56" t="str">
        <f t="shared" si="8"/>
        <v/>
      </c>
      <c r="U6" s="56" t="str">
        <f t="shared" si="8"/>
        <v/>
      </c>
      <c r="V6" s="56" t="str">
        <f t="shared" si="8"/>
        <v/>
      </c>
      <c r="W6" s="56" t="str">
        <f t="shared" si="8"/>
        <v/>
      </c>
      <c r="X6" s="56" t="str">
        <f t="shared" si="8"/>
        <v>昼</v>
      </c>
      <c r="Y6" s="56" t="str">
        <f t="shared" si="8"/>
        <v>夕</v>
      </c>
      <c r="Z6" s="56" t="str">
        <f t="shared" si="8"/>
        <v/>
      </c>
      <c r="AA6" s="56" t="str">
        <f t="shared" si="8"/>
        <v/>
      </c>
      <c r="AB6" s="56" t="str">
        <f t="shared" si="8"/>
        <v/>
      </c>
      <c r="AC6" s="56" t="str">
        <f t="shared" si="8"/>
        <v/>
      </c>
      <c r="AD6" s="56" t="str">
        <f t="shared" si="8"/>
        <v/>
      </c>
      <c r="AE6" s="56" t="str">
        <f t="shared" si="8"/>
        <v>昼</v>
      </c>
      <c r="AF6" s="56" t="str">
        <f t="shared" si="8"/>
        <v>夕</v>
      </c>
      <c r="AG6" s="56" t="str">
        <f t="shared" si="8"/>
        <v/>
      </c>
      <c r="AH6" s="56" t="str">
        <f t="shared" si="8"/>
        <v/>
      </c>
      <c r="AI6" s="56" t="str">
        <f t="shared" si="8"/>
        <v/>
      </c>
      <c r="AJ6" s="56" t="str">
        <f t="shared" si="8"/>
        <v/>
      </c>
      <c r="AK6" s="56" t="str">
        <f t="shared" si="8"/>
        <v/>
      </c>
      <c r="AL6" s="56" t="str">
        <f t="shared" si="8"/>
        <v>昼</v>
      </c>
      <c r="AM6" s="56" t="str">
        <f t="shared" si="8"/>
        <v>夕</v>
      </c>
      <c r="AN6" s="56" t="str">
        <f t="shared" si="8"/>
        <v/>
      </c>
      <c r="AO6" s="56" t="str">
        <f t="shared" si="8"/>
        <v/>
      </c>
      <c r="AP6" s="56" t="str">
        <f t="shared" si="8"/>
        <v/>
      </c>
      <c r="AQ6" s="56" t="str">
        <f t="shared" si="8"/>
        <v/>
      </c>
      <c r="AR6" s="56">
        <f t="shared" si="3"/>
        <v>4</v>
      </c>
      <c r="AS6" s="56" t="str">
        <f t="shared" si="4"/>
        <v/>
      </c>
      <c r="AT6" s="56" t="str">
        <f t="shared" si="5"/>
        <v/>
      </c>
      <c r="AU6" s="56">
        <f t="shared" si="6"/>
        <v>4</v>
      </c>
      <c r="AV6" s="56">
        <f t="shared" si="7"/>
        <v>8</v>
      </c>
      <c r="AW6" s="56" t="s">
        <v>330</v>
      </c>
      <c r="AX6" s="59" t="s">
        <v>331</v>
      </c>
      <c r="AY6" s="59">
        <v>9086202017</v>
      </c>
      <c r="AZ6" s="59" t="s">
        <v>332</v>
      </c>
      <c r="BA6" s="59">
        <v>9068675997</v>
      </c>
      <c r="BB6" s="66" t="s">
        <v>326</v>
      </c>
      <c r="BC6" s="56">
        <v>4</v>
      </c>
      <c r="BD6" s="88"/>
      <c r="BE6" s="62">
        <f>DATE(P1,T1+1,1)-1</f>
        <v>46295</v>
      </c>
      <c r="BF6" s="55" t="s">
        <v>333</v>
      </c>
    </row>
    <row r="7" spans="1:58" s="54" customFormat="1" ht="24" customHeight="1" x14ac:dyDescent="0.45">
      <c r="A7" s="72">
        <v>3</v>
      </c>
      <c r="B7" s="57" t="s">
        <v>334</v>
      </c>
      <c r="C7" s="57"/>
      <c r="D7" s="57"/>
      <c r="E7" s="57"/>
      <c r="F7" s="57"/>
      <c r="G7" s="57"/>
      <c r="H7" s="57"/>
      <c r="I7" s="57"/>
      <c r="J7" s="57"/>
      <c r="K7" s="57"/>
      <c r="L7" s="57"/>
      <c r="M7" s="56" t="str">
        <f>IF(M$4="金","昼",IF(M$4="土","○",IF(M$4="日","○",IF(M$4="月","お",""))))</f>
        <v/>
      </c>
      <c r="N7" s="56" t="str">
        <f t="shared" ref="N7:AQ7" si="9">IF(N$4="金","昼",IF(N$4="土","○",IF(N$4="日","○",IF(N$4="月","お",""))))</f>
        <v/>
      </c>
      <c r="O7" s="56" t="str">
        <f t="shared" si="9"/>
        <v/>
      </c>
      <c r="P7" s="56" t="str">
        <f t="shared" si="9"/>
        <v>昼</v>
      </c>
      <c r="Q7" s="56" t="str">
        <f t="shared" si="9"/>
        <v>○</v>
      </c>
      <c r="R7" s="56" t="str">
        <f t="shared" si="9"/>
        <v>○</v>
      </c>
      <c r="S7" s="56" t="str">
        <f t="shared" si="9"/>
        <v>お</v>
      </c>
      <c r="T7" s="56" t="str">
        <f t="shared" si="9"/>
        <v/>
      </c>
      <c r="U7" s="56" t="str">
        <f t="shared" si="9"/>
        <v/>
      </c>
      <c r="V7" s="56" t="str">
        <f t="shared" si="9"/>
        <v/>
      </c>
      <c r="W7" s="56" t="str">
        <f t="shared" si="9"/>
        <v>昼</v>
      </c>
      <c r="X7" s="56" t="str">
        <f t="shared" si="9"/>
        <v>○</v>
      </c>
      <c r="Y7" s="56" t="str">
        <f t="shared" si="9"/>
        <v>○</v>
      </c>
      <c r="Z7" s="56" t="str">
        <f t="shared" si="9"/>
        <v>お</v>
      </c>
      <c r="AA7" s="56" t="str">
        <f t="shared" si="9"/>
        <v/>
      </c>
      <c r="AB7" s="56" t="str">
        <f t="shared" si="9"/>
        <v/>
      </c>
      <c r="AC7" s="56" t="str">
        <f t="shared" si="9"/>
        <v/>
      </c>
      <c r="AD7" s="56" t="str">
        <f t="shared" si="9"/>
        <v>昼</v>
      </c>
      <c r="AE7" s="56" t="str">
        <f t="shared" si="9"/>
        <v>○</v>
      </c>
      <c r="AF7" s="56" t="str">
        <f t="shared" si="9"/>
        <v>○</v>
      </c>
      <c r="AG7" s="56" t="str">
        <f t="shared" si="9"/>
        <v>お</v>
      </c>
      <c r="AH7" s="56" t="str">
        <f t="shared" si="9"/>
        <v/>
      </c>
      <c r="AI7" s="56" t="str">
        <f t="shared" si="9"/>
        <v/>
      </c>
      <c r="AJ7" s="56" t="str">
        <f t="shared" si="9"/>
        <v/>
      </c>
      <c r="AK7" s="56" t="str">
        <f t="shared" si="9"/>
        <v>昼</v>
      </c>
      <c r="AL7" s="56" t="str">
        <f t="shared" si="9"/>
        <v>○</v>
      </c>
      <c r="AM7" s="56" t="str">
        <f t="shared" si="9"/>
        <v>○</v>
      </c>
      <c r="AN7" s="56" t="str">
        <f t="shared" si="9"/>
        <v>お</v>
      </c>
      <c r="AO7" s="56" t="str">
        <f t="shared" si="9"/>
        <v/>
      </c>
      <c r="AP7" s="56" t="str">
        <f t="shared" si="9"/>
        <v/>
      </c>
      <c r="AQ7" s="56" t="str">
        <f t="shared" si="9"/>
        <v/>
      </c>
      <c r="AR7" s="56">
        <f t="shared" si="3"/>
        <v>4</v>
      </c>
      <c r="AS7" s="56">
        <f t="shared" si="4"/>
        <v>8</v>
      </c>
      <c r="AT7" s="56">
        <f t="shared" si="5"/>
        <v>4</v>
      </c>
      <c r="AU7" s="56" t="str">
        <f t="shared" si="6"/>
        <v/>
      </c>
      <c r="AV7" s="56">
        <f t="shared" si="7"/>
        <v>16</v>
      </c>
      <c r="AW7" s="56" t="s">
        <v>330</v>
      </c>
      <c r="AX7" s="56" t="s">
        <v>335</v>
      </c>
      <c r="AY7" s="59">
        <v>8039457095</v>
      </c>
      <c r="AZ7" s="56" t="s">
        <v>336</v>
      </c>
      <c r="BA7" s="59">
        <v>8039162381</v>
      </c>
      <c r="BB7" s="66" t="s">
        <v>337</v>
      </c>
      <c r="BC7" s="56">
        <v>3</v>
      </c>
      <c r="BD7" s="88"/>
      <c r="BE7" s="61"/>
      <c r="BF7" s="55" t="s">
        <v>338</v>
      </c>
    </row>
    <row r="8" spans="1:58" s="54" customFormat="1" ht="24" customHeight="1" x14ac:dyDescent="0.45">
      <c r="A8" s="72">
        <v>4</v>
      </c>
      <c r="B8" s="75" t="s">
        <v>339</v>
      </c>
      <c r="C8" s="57"/>
      <c r="D8" s="57"/>
      <c r="E8" s="57"/>
      <c r="F8" s="57"/>
      <c r="G8" s="57"/>
      <c r="H8" s="57"/>
      <c r="I8" s="57"/>
      <c r="J8" s="57"/>
      <c r="K8" s="57"/>
      <c r="L8" s="57"/>
      <c r="M8" s="56"/>
      <c r="N8" s="56"/>
      <c r="O8" s="56"/>
      <c r="P8" s="56"/>
      <c r="Q8" s="56"/>
      <c r="R8" s="56"/>
      <c r="S8" s="56"/>
      <c r="T8" s="56"/>
      <c r="U8" s="56"/>
      <c r="V8" s="56"/>
      <c r="W8" s="56"/>
      <c r="X8" s="56"/>
      <c r="Y8" s="56"/>
      <c r="Z8" s="56"/>
      <c r="AA8" s="56"/>
      <c r="AB8" s="56"/>
      <c r="AC8" s="56"/>
      <c r="AD8" s="56"/>
      <c r="AE8" s="56"/>
      <c r="AF8" s="56"/>
      <c r="AG8" s="56"/>
      <c r="AH8" s="56"/>
      <c r="AI8" s="56"/>
      <c r="AJ8" s="56"/>
      <c r="AL8" s="56"/>
      <c r="AM8" s="56"/>
      <c r="AN8" s="56"/>
      <c r="AO8" s="56"/>
      <c r="AP8" s="56"/>
      <c r="AQ8" s="56"/>
      <c r="AR8" s="56" t="str">
        <f t="shared" si="3"/>
        <v/>
      </c>
      <c r="AS8" s="56" t="str">
        <f t="shared" si="4"/>
        <v/>
      </c>
      <c r="AT8" s="56" t="str">
        <f t="shared" si="5"/>
        <v/>
      </c>
      <c r="AU8" s="56" t="str">
        <f t="shared" si="6"/>
        <v/>
      </c>
      <c r="AV8" s="56" t="str">
        <f t="shared" si="7"/>
        <v/>
      </c>
      <c r="AW8" s="56" t="s">
        <v>323</v>
      </c>
      <c r="AX8" s="56" t="s">
        <v>340</v>
      </c>
      <c r="AY8" s="59">
        <v>9037963062</v>
      </c>
      <c r="AZ8" s="56" t="s">
        <v>341</v>
      </c>
      <c r="BA8" s="59">
        <v>9075873470</v>
      </c>
      <c r="BB8" s="56" t="s">
        <v>326</v>
      </c>
      <c r="BC8" s="56">
        <v>3</v>
      </c>
      <c r="BD8" s="88"/>
      <c r="BE8" s="53"/>
      <c r="BF8" s="55"/>
    </row>
    <row r="9" spans="1:58" s="54" customFormat="1" ht="24" customHeight="1" x14ac:dyDescent="0.45">
      <c r="A9" s="72">
        <v>5</v>
      </c>
      <c r="B9" s="57" t="s">
        <v>342</v>
      </c>
      <c r="C9" s="57"/>
      <c r="D9" s="57"/>
      <c r="E9" s="57"/>
      <c r="F9" s="57"/>
      <c r="G9" s="57"/>
      <c r="H9" s="57"/>
      <c r="I9" s="57"/>
      <c r="J9" s="57" t="str">
        <f>IF(COUNTA(C9:I9)=0,"",COUNTA(C9:I9))</f>
        <v/>
      </c>
      <c r="K9" s="57"/>
      <c r="L9" s="57"/>
      <c r="M9" s="56" t="str">
        <f>IF(M$4="火","昼",IF(M$4="水","○",IF(M$4="木","夕","")))</f>
        <v>昼</v>
      </c>
      <c r="N9" s="56" t="str">
        <f t="shared" ref="N9:AQ9" si="10">IF(N$4="火","昼",IF(N$4="水","○",IF(N$4="木","夕","")))</f>
        <v>○</v>
      </c>
      <c r="O9" s="56" t="str">
        <f t="shared" si="10"/>
        <v>夕</v>
      </c>
      <c r="P9" s="56" t="str">
        <f t="shared" si="10"/>
        <v/>
      </c>
      <c r="Q9" s="56" t="str">
        <f t="shared" si="10"/>
        <v/>
      </c>
      <c r="R9" s="56" t="str">
        <f t="shared" si="10"/>
        <v/>
      </c>
      <c r="S9" s="56" t="str">
        <f t="shared" si="10"/>
        <v/>
      </c>
      <c r="T9" s="56" t="str">
        <f t="shared" si="10"/>
        <v>昼</v>
      </c>
      <c r="U9" s="56" t="str">
        <f t="shared" si="10"/>
        <v>○</v>
      </c>
      <c r="V9" s="56" t="str">
        <f t="shared" si="10"/>
        <v>夕</v>
      </c>
      <c r="W9" s="56" t="str">
        <f t="shared" si="10"/>
        <v/>
      </c>
      <c r="X9" s="56" t="str">
        <f t="shared" si="10"/>
        <v/>
      </c>
      <c r="Y9" s="56" t="str">
        <f t="shared" si="10"/>
        <v/>
      </c>
      <c r="Z9" s="56" t="str">
        <f t="shared" si="10"/>
        <v/>
      </c>
      <c r="AA9" s="56" t="str">
        <f t="shared" si="10"/>
        <v>昼</v>
      </c>
      <c r="AB9" s="56" t="str">
        <f t="shared" si="10"/>
        <v>○</v>
      </c>
      <c r="AC9" s="56" t="str">
        <f t="shared" si="10"/>
        <v>夕</v>
      </c>
      <c r="AD9" s="56" t="str">
        <f t="shared" si="10"/>
        <v/>
      </c>
      <c r="AE9" s="56" t="str">
        <f t="shared" si="10"/>
        <v/>
      </c>
      <c r="AF9" s="56" t="str">
        <f t="shared" si="10"/>
        <v/>
      </c>
      <c r="AG9" s="56" t="str">
        <f t="shared" si="10"/>
        <v/>
      </c>
      <c r="AH9" s="56" t="str">
        <f t="shared" si="10"/>
        <v>昼</v>
      </c>
      <c r="AI9" s="56" t="str">
        <f t="shared" si="10"/>
        <v>○</v>
      </c>
      <c r="AJ9" s="56" t="str">
        <f t="shared" si="10"/>
        <v>夕</v>
      </c>
      <c r="AK9" s="56" t="str">
        <f t="shared" si="10"/>
        <v/>
      </c>
      <c r="AL9" s="56" t="str">
        <f t="shared" si="10"/>
        <v/>
      </c>
      <c r="AM9" s="56" t="str">
        <f t="shared" si="10"/>
        <v/>
      </c>
      <c r="AN9" s="56" t="str">
        <f t="shared" si="10"/>
        <v/>
      </c>
      <c r="AO9" s="56" t="str">
        <f t="shared" si="10"/>
        <v>昼</v>
      </c>
      <c r="AP9" s="56" t="str">
        <f t="shared" si="10"/>
        <v>○</v>
      </c>
      <c r="AQ9" s="56" t="str">
        <f t="shared" si="10"/>
        <v/>
      </c>
      <c r="AR9" s="56">
        <f t="shared" si="3"/>
        <v>5</v>
      </c>
      <c r="AS9" s="56">
        <f t="shared" si="4"/>
        <v>5</v>
      </c>
      <c r="AT9" s="56" t="str">
        <f t="shared" si="5"/>
        <v/>
      </c>
      <c r="AU9" s="56">
        <f t="shared" si="6"/>
        <v>4</v>
      </c>
      <c r="AV9" s="56">
        <f t="shared" si="7"/>
        <v>14</v>
      </c>
      <c r="AW9" s="56" t="s">
        <v>323</v>
      </c>
      <c r="AX9" s="56" t="s">
        <v>343</v>
      </c>
      <c r="AY9" s="59">
        <v>9019466851</v>
      </c>
      <c r="AZ9" s="56" t="s">
        <v>336</v>
      </c>
      <c r="BA9" s="59">
        <v>8039162381</v>
      </c>
      <c r="BB9" s="66" t="s">
        <v>326</v>
      </c>
      <c r="BC9" s="56">
        <v>2</v>
      </c>
      <c r="BD9" s="88">
        <v>46630</v>
      </c>
      <c r="BE9" s="53"/>
      <c r="BF9" s="55"/>
    </row>
    <row r="10" spans="1:58" s="54" customFormat="1" ht="24" customHeight="1" x14ac:dyDescent="0.45">
      <c r="A10" s="72">
        <v>6</v>
      </c>
      <c r="B10" s="57" t="s">
        <v>344</v>
      </c>
      <c r="C10" s="57"/>
      <c r="D10" s="57"/>
      <c r="E10" s="57"/>
      <c r="F10" s="57"/>
      <c r="G10" s="57"/>
      <c r="H10" s="57"/>
      <c r="I10" s="57"/>
      <c r="J10" s="57"/>
      <c r="K10" s="57"/>
      <c r="L10" s="57"/>
      <c r="M10" s="56" t="str">
        <f>IF(M$4="木","昼",IF(M$4="金","○",IF(M$4="土","夕","")))</f>
        <v/>
      </c>
      <c r="N10" s="56" t="str">
        <f t="shared" ref="N10:AQ10" si="11">IF(N$4="木","昼",IF(N$4="金","○",IF(N$4="土","夕","")))</f>
        <v/>
      </c>
      <c r="O10" s="56" t="str">
        <f t="shared" si="11"/>
        <v>昼</v>
      </c>
      <c r="P10" s="56" t="str">
        <f t="shared" si="11"/>
        <v>○</v>
      </c>
      <c r="Q10" s="56" t="str">
        <f t="shared" si="11"/>
        <v>夕</v>
      </c>
      <c r="R10" s="56" t="str">
        <f t="shared" si="11"/>
        <v/>
      </c>
      <c r="S10" s="56" t="str">
        <f t="shared" si="11"/>
        <v/>
      </c>
      <c r="T10" s="56" t="str">
        <f t="shared" si="11"/>
        <v/>
      </c>
      <c r="U10" s="56" t="str">
        <f t="shared" si="11"/>
        <v/>
      </c>
      <c r="V10" s="56" t="str">
        <f t="shared" si="11"/>
        <v>昼</v>
      </c>
      <c r="W10" s="56" t="str">
        <f t="shared" si="11"/>
        <v>○</v>
      </c>
      <c r="X10" s="56" t="str">
        <f t="shared" si="11"/>
        <v>夕</v>
      </c>
      <c r="Y10" s="56" t="str">
        <f t="shared" si="11"/>
        <v/>
      </c>
      <c r="Z10" s="56" t="str">
        <f t="shared" si="11"/>
        <v/>
      </c>
      <c r="AA10" s="56" t="str">
        <f t="shared" si="11"/>
        <v/>
      </c>
      <c r="AB10" s="56" t="str">
        <f t="shared" si="11"/>
        <v/>
      </c>
      <c r="AC10" s="56" t="str">
        <f t="shared" si="11"/>
        <v>昼</v>
      </c>
      <c r="AD10" s="56" t="str">
        <f t="shared" si="11"/>
        <v>○</v>
      </c>
      <c r="AE10" s="56" t="str">
        <f t="shared" si="11"/>
        <v>夕</v>
      </c>
      <c r="AF10" s="56" t="str">
        <f t="shared" si="11"/>
        <v/>
      </c>
      <c r="AG10" s="56" t="str">
        <f t="shared" si="11"/>
        <v/>
      </c>
      <c r="AH10" s="56" t="str">
        <f t="shared" si="11"/>
        <v/>
      </c>
      <c r="AI10" s="56" t="str">
        <f t="shared" si="11"/>
        <v/>
      </c>
      <c r="AJ10" s="56" t="str">
        <f t="shared" si="11"/>
        <v>昼</v>
      </c>
      <c r="AK10" s="56" t="str">
        <f t="shared" si="11"/>
        <v>○</v>
      </c>
      <c r="AL10" s="56" t="str">
        <f t="shared" si="11"/>
        <v>夕</v>
      </c>
      <c r="AM10" s="56" t="str">
        <f t="shared" si="11"/>
        <v/>
      </c>
      <c r="AN10" s="56" t="str">
        <f t="shared" si="11"/>
        <v/>
      </c>
      <c r="AO10" s="56" t="str">
        <f t="shared" si="11"/>
        <v/>
      </c>
      <c r="AP10" s="56" t="str">
        <f t="shared" si="11"/>
        <v/>
      </c>
      <c r="AQ10" s="56" t="str">
        <f t="shared" si="11"/>
        <v/>
      </c>
      <c r="AR10" s="56">
        <f t="shared" si="3"/>
        <v>4</v>
      </c>
      <c r="AS10" s="56">
        <f t="shared" si="4"/>
        <v>4</v>
      </c>
      <c r="AT10" s="56" t="str">
        <f t="shared" si="5"/>
        <v/>
      </c>
      <c r="AU10" s="56">
        <f t="shared" si="6"/>
        <v>4</v>
      </c>
      <c r="AV10" s="56">
        <f t="shared" si="7"/>
        <v>12</v>
      </c>
      <c r="AW10" s="56" t="s">
        <v>323</v>
      </c>
      <c r="AX10" s="56" t="s">
        <v>345</v>
      </c>
      <c r="AY10" s="59">
        <v>9068975316</v>
      </c>
      <c r="AZ10" s="56" t="s">
        <v>346</v>
      </c>
      <c r="BA10" s="59">
        <v>8033750538</v>
      </c>
      <c r="BB10" s="66" t="s">
        <v>347</v>
      </c>
      <c r="BC10" s="56">
        <v>2</v>
      </c>
      <c r="BD10" s="66"/>
      <c r="BE10" s="53"/>
      <c r="BF10" s="55"/>
    </row>
    <row r="11" spans="1:58" s="54" customFormat="1" ht="24" customHeight="1" x14ac:dyDescent="0.45">
      <c r="A11" s="72">
        <v>7</v>
      </c>
      <c r="B11" s="57" t="s">
        <v>348</v>
      </c>
      <c r="C11" s="57"/>
      <c r="D11" s="57"/>
      <c r="E11" s="57"/>
      <c r="F11" s="57"/>
      <c r="G11" s="57"/>
      <c r="H11" s="57"/>
      <c r="I11" s="57"/>
      <c r="J11" s="57"/>
      <c r="K11" s="57"/>
      <c r="L11" s="57"/>
      <c r="M11" s="56" t="s">
        <v>319</v>
      </c>
      <c r="N11" s="56" t="s">
        <v>319</v>
      </c>
      <c r="O11" s="56" t="s">
        <v>319</v>
      </c>
      <c r="P11" s="56" t="s">
        <v>319</v>
      </c>
      <c r="Q11" s="56" t="s">
        <v>319</v>
      </c>
      <c r="R11" s="56" t="s">
        <v>319</v>
      </c>
      <c r="S11" s="56" t="s">
        <v>319</v>
      </c>
      <c r="T11" s="56" t="s">
        <v>319</v>
      </c>
      <c r="U11" s="56" t="s">
        <v>319</v>
      </c>
      <c r="V11" s="56" t="s">
        <v>319</v>
      </c>
      <c r="W11" s="56" t="s">
        <v>319</v>
      </c>
      <c r="X11" s="56" t="s">
        <v>319</v>
      </c>
      <c r="Y11" s="56" t="s">
        <v>319</v>
      </c>
      <c r="Z11" s="56" t="s">
        <v>319</v>
      </c>
      <c r="AA11" s="56" t="s">
        <v>319</v>
      </c>
      <c r="AB11" s="56" t="s">
        <v>319</v>
      </c>
      <c r="AC11" s="56" t="s">
        <v>319</v>
      </c>
      <c r="AD11" s="56" t="s">
        <v>319</v>
      </c>
      <c r="AE11" s="56" t="s">
        <v>319</v>
      </c>
      <c r="AF11" s="56" t="s">
        <v>319</v>
      </c>
      <c r="AG11" s="56" t="s">
        <v>319</v>
      </c>
      <c r="AH11" s="56" t="s">
        <v>319</v>
      </c>
      <c r="AI11" s="56" t="s">
        <v>319</v>
      </c>
      <c r="AJ11" s="56" t="s">
        <v>319</v>
      </c>
      <c r="AK11" s="56" t="s">
        <v>319</v>
      </c>
      <c r="AL11" s="56" t="s">
        <v>319</v>
      </c>
      <c r="AM11" s="56" t="s">
        <v>319</v>
      </c>
      <c r="AN11" s="56" t="s">
        <v>319</v>
      </c>
      <c r="AO11" s="56" t="s">
        <v>319</v>
      </c>
      <c r="AP11" s="56" t="s">
        <v>319</v>
      </c>
      <c r="AQ11" s="56" t="s">
        <v>319</v>
      </c>
      <c r="AR11" s="56" t="str">
        <f t="shared" si="3"/>
        <v/>
      </c>
      <c r="AS11" s="56">
        <f t="shared" si="4"/>
        <v>31</v>
      </c>
      <c r="AT11" s="56" t="str">
        <f t="shared" si="5"/>
        <v/>
      </c>
      <c r="AU11" s="56" t="str">
        <f t="shared" si="6"/>
        <v/>
      </c>
      <c r="AV11" s="56">
        <f t="shared" si="7"/>
        <v>31</v>
      </c>
      <c r="AW11" s="56" t="s">
        <v>323</v>
      </c>
      <c r="AX11" s="56" t="s">
        <v>349</v>
      </c>
      <c r="AY11" s="59">
        <v>9013413414</v>
      </c>
      <c r="AZ11" s="56" t="s">
        <v>350</v>
      </c>
      <c r="BA11" s="59">
        <v>9068641724</v>
      </c>
      <c r="BB11" s="66" t="s">
        <v>337</v>
      </c>
      <c r="BC11" s="56">
        <v>3</v>
      </c>
      <c r="BD11" s="88"/>
      <c r="BE11" s="53"/>
      <c r="BF11" s="55"/>
    </row>
    <row r="12" spans="1:58" s="54" customFormat="1" ht="24" customHeight="1" x14ac:dyDescent="0.45">
      <c r="A12" s="72">
        <v>8</v>
      </c>
      <c r="B12" s="57" t="s">
        <v>351</v>
      </c>
      <c r="C12" s="57"/>
      <c r="D12" s="57"/>
      <c r="E12" s="57"/>
      <c r="F12" s="57"/>
      <c r="G12" s="57"/>
      <c r="H12" s="57"/>
      <c r="I12" s="57"/>
      <c r="J12" s="57"/>
      <c r="K12" s="57"/>
      <c r="L12" s="57"/>
      <c r="M12" s="56" t="str">
        <f>IF(M$4="土","昼",IF(M$4="日","お",""))</f>
        <v/>
      </c>
      <c r="N12" s="56" t="str">
        <f t="shared" ref="N12:AQ12" si="12">IF(N$4="土","昼",IF(N$4="日","お",""))</f>
        <v/>
      </c>
      <c r="O12" s="56" t="str">
        <f t="shared" si="12"/>
        <v/>
      </c>
      <c r="P12" s="56" t="str">
        <f t="shared" si="12"/>
        <v/>
      </c>
      <c r="Q12" s="56" t="str">
        <f t="shared" si="12"/>
        <v>昼</v>
      </c>
      <c r="R12" s="56" t="str">
        <f t="shared" si="12"/>
        <v>お</v>
      </c>
      <c r="S12" s="56" t="str">
        <f t="shared" si="12"/>
        <v/>
      </c>
      <c r="T12" s="56" t="str">
        <f t="shared" si="12"/>
        <v/>
      </c>
      <c r="U12" s="56" t="str">
        <f t="shared" si="12"/>
        <v/>
      </c>
      <c r="V12" s="56" t="str">
        <f t="shared" si="12"/>
        <v/>
      </c>
      <c r="W12" s="56" t="str">
        <f t="shared" si="12"/>
        <v/>
      </c>
      <c r="X12" s="56" t="str">
        <f t="shared" si="12"/>
        <v>昼</v>
      </c>
      <c r="Y12" s="56" t="str">
        <f t="shared" si="12"/>
        <v>お</v>
      </c>
      <c r="Z12" s="56" t="str">
        <f t="shared" si="12"/>
        <v/>
      </c>
      <c r="AA12" s="56" t="str">
        <f t="shared" si="12"/>
        <v/>
      </c>
      <c r="AB12" s="56" t="str">
        <f t="shared" si="12"/>
        <v/>
      </c>
      <c r="AC12" s="56" t="str">
        <f t="shared" si="12"/>
        <v/>
      </c>
      <c r="AD12" s="56" t="str">
        <f t="shared" si="12"/>
        <v/>
      </c>
      <c r="AE12" s="56" t="str">
        <f t="shared" si="12"/>
        <v>昼</v>
      </c>
      <c r="AF12" s="56" t="str">
        <f t="shared" si="12"/>
        <v>お</v>
      </c>
      <c r="AG12" s="56" t="str">
        <f t="shared" si="12"/>
        <v/>
      </c>
      <c r="AH12" s="56" t="str">
        <f t="shared" si="12"/>
        <v/>
      </c>
      <c r="AI12" s="56" t="str">
        <f t="shared" si="12"/>
        <v/>
      </c>
      <c r="AJ12" s="56" t="str">
        <f t="shared" si="12"/>
        <v/>
      </c>
      <c r="AK12" s="56" t="str">
        <f t="shared" si="12"/>
        <v/>
      </c>
      <c r="AL12" s="56" t="str">
        <f t="shared" si="12"/>
        <v>昼</v>
      </c>
      <c r="AM12" s="56" t="str">
        <f t="shared" si="12"/>
        <v>お</v>
      </c>
      <c r="AN12" s="56" t="s">
        <v>352</v>
      </c>
      <c r="AO12" s="56" t="s">
        <v>319</v>
      </c>
      <c r="AP12" s="56" t="s">
        <v>319</v>
      </c>
      <c r="AQ12" s="56" t="str">
        <f t="shared" si="12"/>
        <v/>
      </c>
      <c r="AR12" s="56">
        <f t="shared" si="3"/>
        <v>5</v>
      </c>
      <c r="AS12" s="56">
        <f t="shared" si="4"/>
        <v>2</v>
      </c>
      <c r="AT12" s="56">
        <f t="shared" si="5"/>
        <v>4</v>
      </c>
      <c r="AU12" s="56" t="str">
        <f t="shared" si="6"/>
        <v/>
      </c>
      <c r="AV12" s="56">
        <f t="shared" si="7"/>
        <v>11</v>
      </c>
      <c r="AW12" s="56" t="s">
        <v>323</v>
      </c>
      <c r="AX12" s="56" t="s">
        <v>353</v>
      </c>
      <c r="AY12" s="59">
        <v>9097873561</v>
      </c>
      <c r="AZ12" s="56" t="s">
        <v>346</v>
      </c>
      <c r="BA12" s="59">
        <v>8033750537</v>
      </c>
      <c r="BB12" s="66" t="s">
        <v>347</v>
      </c>
      <c r="BC12" s="56">
        <v>1</v>
      </c>
      <c r="BD12" s="88"/>
      <c r="BE12" s="53"/>
      <c r="BF12" s="55"/>
    </row>
    <row r="13" spans="1:58" s="54" customFormat="1" ht="24" customHeight="1" x14ac:dyDescent="0.45">
      <c r="A13" s="72">
        <v>9</v>
      </c>
      <c r="B13" s="57" t="s">
        <v>354</v>
      </c>
      <c r="C13" s="57"/>
      <c r="D13" s="57"/>
      <c r="E13" s="57"/>
      <c r="F13" s="57"/>
      <c r="G13" s="57"/>
      <c r="H13" s="57"/>
      <c r="I13" s="57"/>
      <c r="J13" s="57"/>
      <c r="K13" s="57"/>
      <c r="L13" s="57"/>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t="str">
        <f t="shared" si="3"/>
        <v/>
      </c>
      <c r="AS13" s="56" t="str">
        <f t="shared" si="4"/>
        <v/>
      </c>
      <c r="AT13" s="56" t="str">
        <f t="shared" si="5"/>
        <v/>
      </c>
      <c r="AU13" s="56" t="str">
        <f t="shared" si="6"/>
        <v/>
      </c>
      <c r="AV13" s="56" t="str">
        <f t="shared" si="7"/>
        <v/>
      </c>
      <c r="AW13" s="56" t="s">
        <v>323</v>
      </c>
      <c r="AX13" s="56" t="s">
        <v>355</v>
      </c>
      <c r="AY13" s="59">
        <v>9094067262</v>
      </c>
      <c r="AZ13" s="56" t="s">
        <v>356</v>
      </c>
      <c r="BA13" s="59">
        <v>7012498633</v>
      </c>
      <c r="BB13" s="66" t="s">
        <v>326</v>
      </c>
      <c r="BC13" s="56">
        <v>2</v>
      </c>
      <c r="BD13" s="88"/>
      <c r="BE13" s="53"/>
      <c r="BF13" s="55"/>
    </row>
    <row r="14" spans="1:58" s="54" customFormat="1" ht="24" customHeight="1" x14ac:dyDescent="0.45">
      <c r="A14" s="72">
        <v>10</v>
      </c>
      <c r="B14" s="57" t="s">
        <v>357</v>
      </c>
      <c r="C14" s="57"/>
      <c r="D14" s="57"/>
      <c r="E14" s="57"/>
      <c r="F14" s="57"/>
      <c r="G14" s="57"/>
      <c r="H14" s="57"/>
      <c r="I14" s="57"/>
      <c r="J14" s="57"/>
      <c r="K14" s="57"/>
      <c r="L14" s="57"/>
      <c r="M14" s="56"/>
      <c r="N14" s="56"/>
      <c r="O14" s="56" t="s">
        <v>352</v>
      </c>
      <c r="P14" s="56" t="s">
        <v>319</v>
      </c>
      <c r="Q14" s="56" t="s">
        <v>319</v>
      </c>
      <c r="R14" s="56" t="s">
        <v>319</v>
      </c>
      <c r="S14" s="56" t="s">
        <v>319</v>
      </c>
      <c r="T14" s="56" t="s">
        <v>319</v>
      </c>
      <c r="U14" s="56" t="s">
        <v>319</v>
      </c>
      <c r="V14" s="56" t="s">
        <v>319</v>
      </c>
      <c r="W14" s="56" t="s">
        <v>319</v>
      </c>
      <c r="X14" s="56" t="s">
        <v>319</v>
      </c>
      <c r="Y14" s="56" t="s">
        <v>320</v>
      </c>
      <c r="Z14" s="56"/>
      <c r="AA14" s="56"/>
      <c r="AB14" s="56"/>
      <c r="AC14" s="56" t="s">
        <v>352</v>
      </c>
      <c r="AD14" s="56" t="s">
        <v>319</v>
      </c>
      <c r="AE14" s="56" t="s">
        <v>319</v>
      </c>
      <c r="AF14" s="56" t="s">
        <v>319</v>
      </c>
      <c r="AG14" s="56" t="s">
        <v>319</v>
      </c>
      <c r="AH14" s="56" t="s">
        <v>319</v>
      </c>
      <c r="AI14" s="56" t="s">
        <v>319</v>
      </c>
      <c r="AJ14" s="56" t="s">
        <v>319</v>
      </c>
      <c r="AK14" s="56" t="s">
        <v>319</v>
      </c>
      <c r="AL14" s="56" t="s">
        <v>319</v>
      </c>
      <c r="AM14" s="56" t="s">
        <v>320</v>
      </c>
      <c r="AN14" s="64"/>
      <c r="AO14" s="64"/>
      <c r="AP14" s="64"/>
      <c r="AQ14" s="56"/>
      <c r="AR14" s="56">
        <f t="shared" si="3"/>
        <v>2</v>
      </c>
      <c r="AS14" s="56">
        <f t="shared" si="4"/>
        <v>18</v>
      </c>
      <c r="AT14" s="56">
        <f t="shared" si="5"/>
        <v>2</v>
      </c>
      <c r="AU14" s="56" t="str">
        <f t="shared" si="6"/>
        <v/>
      </c>
      <c r="AV14" s="56">
        <f t="shared" si="7"/>
        <v>22</v>
      </c>
      <c r="AW14" s="56" t="s">
        <v>330</v>
      </c>
      <c r="AX14" s="56" t="s">
        <v>358</v>
      </c>
      <c r="AY14" s="59">
        <v>8035335927</v>
      </c>
      <c r="AZ14" s="56" t="s">
        <v>359</v>
      </c>
      <c r="BA14" s="59">
        <v>9082902739</v>
      </c>
      <c r="BB14" s="66" t="s">
        <v>360</v>
      </c>
      <c r="BC14" s="56">
        <v>3</v>
      </c>
      <c r="BD14" s="88"/>
      <c r="BE14" s="53"/>
      <c r="BF14" s="55"/>
    </row>
    <row r="15" spans="1:58" s="54" customFormat="1" ht="24" customHeight="1" x14ac:dyDescent="0.45">
      <c r="A15" s="72">
        <v>11</v>
      </c>
      <c r="B15" s="57" t="s">
        <v>361</v>
      </c>
      <c r="C15" s="57"/>
      <c r="D15" s="57"/>
      <c r="E15" s="57"/>
      <c r="F15" s="57"/>
      <c r="G15" s="57"/>
      <c r="H15" s="57"/>
      <c r="I15" s="57"/>
      <c r="J15" s="57"/>
      <c r="K15" s="57"/>
      <c r="L15" s="57"/>
      <c r="M15" s="56" t="s">
        <v>319</v>
      </c>
      <c r="N15" s="56" t="s">
        <v>319</v>
      </c>
      <c r="O15" s="56" t="s">
        <v>319</v>
      </c>
      <c r="P15" s="56" t="s">
        <v>319</v>
      </c>
      <c r="Q15" s="56" t="s">
        <v>319</v>
      </c>
      <c r="R15" s="56" t="s">
        <v>319</v>
      </c>
      <c r="S15" s="56" t="s">
        <v>319</v>
      </c>
      <c r="T15" s="56" t="s">
        <v>319</v>
      </c>
      <c r="U15" s="56" t="s">
        <v>319</v>
      </c>
      <c r="V15" s="56" t="s">
        <v>319</v>
      </c>
      <c r="W15" s="56" t="s">
        <v>319</v>
      </c>
      <c r="X15" s="56" t="s">
        <v>319</v>
      </c>
      <c r="Y15" s="56" t="s">
        <v>319</v>
      </c>
      <c r="Z15" s="56" t="s">
        <v>319</v>
      </c>
      <c r="AA15" s="56" t="s">
        <v>319</v>
      </c>
      <c r="AB15" s="56" t="s">
        <v>319</v>
      </c>
      <c r="AC15" s="56" t="s">
        <v>319</v>
      </c>
      <c r="AD15" s="56" t="s">
        <v>319</v>
      </c>
      <c r="AE15" s="56" t="s">
        <v>319</v>
      </c>
      <c r="AF15" s="56" t="s">
        <v>319</v>
      </c>
      <c r="AG15" s="56" t="s">
        <v>319</v>
      </c>
      <c r="AH15" s="56" t="s">
        <v>319</v>
      </c>
      <c r="AI15" s="56" t="s">
        <v>319</v>
      </c>
      <c r="AJ15" s="56" t="s">
        <v>319</v>
      </c>
      <c r="AK15" s="56" t="s">
        <v>319</v>
      </c>
      <c r="AL15" s="56" t="s">
        <v>319</v>
      </c>
      <c r="AM15" s="56" t="s">
        <v>319</v>
      </c>
      <c r="AN15" s="56" t="s">
        <v>319</v>
      </c>
      <c r="AO15" s="56" t="s">
        <v>319</v>
      </c>
      <c r="AP15" s="56" t="s">
        <v>319</v>
      </c>
      <c r="AQ15" s="56" t="s">
        <v>319</v>
      </c>
      <c r="AR15" s="56"/>
      <c r="AS15" s="56"/>
      <c r="AT15" s="56"/>
      <c r="AU15" s="56"/>
      <c r="AV15" s="56"/>
      <c r="AW15" s="56" t="s">
        <v>323</v>
      </c>
      <c r="AX15" s="56" t="s">
        <v>362</v>
      </c>
      <c r="AY15" s="59">
        <v>9075855328</v>
      </c>
      <c r="AZ15" s="56" t="s">
        <v>336</v>
      </c>
      <c r="BA15" s="59">
        <v>8039162381</v>
      </c>
      <c r="BB15" s="66" t="s">
        <v>337</v>
      </c>
      <c r="BC15" s="56">
        <v>1</v>
      </c>
      <c r="BD15" s="88"/>
      <c r="BE15" s="53"/>
      <c r="BF15" s="55"/>
    </row>
    <row r="16" spans="1:58" s="54" customFormat="1" ht="24" customHeight="1" x14ac:dyDescent="0.45">
      <c r="A16" s="72">
        <v>12</v>
      </c>
      <c r="B16" s="57" t="s">
        <v>538</v>
      </c>
      <c r="C16" s="57"/>
      <c r="D16" s="57"/>
      <c r="E16" s="57"/>
      <c r="F16" s="57"/>
      <c r="G16" s="57"/>
      <c r="H16" s="57"/>
      <c r="I16" s="57"/>
      <c r="J16" s="57"/>
      <c r="K16" s="57"/>
      <c r="L16" s="57"/>
      <c r="M16" s="56" t="s">
        <v>319</v>
      </c>
      <c r="N16" s="56" t="s">
        <v>319</v>
      </c>
      <c r="O16" s="56" t="s">
        <v>319</v>
      </c>
      <c r="P16" s="56" t="s">
        <v>319</v>
      </c>
      <c r="Q16" s="56" t="s">
        <v>319</v>
      </c>
      <c r="R16" s="56" t="s">
        <v>319</v>
      </c>
      <c r="S16" s="56" t="s">
        <v>319</v>
      </c>
      <c r="T16" s="56" t="s">
        <v>319</v>
      </c>
      <c r="U16" s="56" t="s">
        <v>319</v>
      </c>
      <c r="V16" s="56" t="s">
        <v>319</v>
      </c>
      <c r="W16" s="56" t="s">
        <v>319</v>
      </c>
      <c r="X16" s="56" t="s">
        <v>319</v>
      </c>
      <c r="Y16" s="56" t="s">
        <v>319</v>
      </c>
      <c r="Z16" s="56" t="s">
        <v>319</v>
      </c>
      <c r="AA16" s="56" t="s">
        <v>319</v>
      </c>
      <c r="AB16" s="56" t="s">
        <v>319</v>
      </c>
      <c r="AC16" s="56" t="s">
        <v>319</v>
      </c>
      <c r="AD16" s="56" t="s">
        <v>319</v>
      </c>
      <c r="AE16" s="56" t="s">
        <v>319</v>
      </c>
      <c r="AF16" s="56" t="s">
        <v>319</v>
      </c>
      <c r="AG16" s="56" t="s">
        <v>319</v>
      </c>
      <c r="AH16" s="56" t="s">
        <v>319</v>
      </c>
      <c r="AI16" s="56" t="s">
        <v>319</v>
      </c>
      <c r="AJ16" s="56" t="s">
        <v>319</v>
      </c>
      <c r="AK16" s="56" t="s">
        <v>319</v>
      </c>
      <c r="AL16" s="56" t="s">
        <v>319</v>
      </c>
      <c r="AM16" s="56" t="s">
        <v>319</v>
      </c>
      <c r="AN16" s="56" t="s">
        <v>319</v>
      </c>
      <c r="AO16" s="56" t="s">
        <v>319</v>
      </c>
      <c r="AP16" s="56" t="s">
        <v>319</v>
      </c>
      <c r="AQ16" s="56" t="s">
        <v>319</v>
      </c>
      <c r="AR16" s="56"/>
      <c r="AS16" s="56"/>
      <c r="AT16" s="56"/>
      <c r="AU16" s="56"/>
      <c r="AV16" s="56"/>
      <c r="AW16" s="56"/>
      <c r="AX16" s="56"/>
      <c r="AY16" s="59"/>
      <c r="AZ16" s="56"/>
      <c r="BA16" s="59"/>
      <c r="BB16" s="66"/>
      <c r="BC16" s="56"/>
      <c r="BD16" s="88"/>
      <c r="BE16" s="53"/>
      <c r="BF16" s="55"/>
    </row>
    <row r="17" spans="1:58" s="54" customFormat="1" ht="24" customHeight="1" x14ac:dyDescent="0.45">
      <c r="A17" s="72">
        <v>13</v>
      </c>
      <c r="B17" s="57" t="s">
        <v>363</v>
      </c>
      <c r="C17" s="57"/>
      <c r="D17" s="57"/>
      <c r="E17" s="57"/>
      <c r="F17" s="57"/>
      <c r="G17" s="57"/>
      <c r="H17" s="57"/>
      <c r="I17" s="57"/>
      <c r="J17" s="57"/>
      <c r="K17" s="57"/>
      <c r="L17" s="57"/>
      <c r="M17" s="56" t="str">
        <f>IF(M$4="日","昼",IF(M$4="月","お",""))</f>
        <v/>
      </c>
      <c r="N17" s="56" t="str">
        <f t="shared" ref="N17:AQ17" si="13">IF(N$4="日","昼",IF(N$4="月","お",""))</f>
        <v/>
      </c>
      <c r="O17" s="56" t="str">
        <f t="shared" si="13"/>
        <v/>
      </c>
      <c r="P17" s="56" t="str">
        <f t="shared" si="13"/>
        <v/>
      </c>
      <c r="Q17" s="56" t="str">
        <f t="shared" si="13"/>
        <v/>
      </c>
      <c r="R17" s="56" t="str">
        <f t="shared" si="13"/>
        <v>昼</v>
      </c>
      <c r="S17" s="56" t="str">
        <f t="shared" si="13"/>
        <v>お</v>
      </c>
      <c r="T17" s="56" t="str">
        <f t="shared" si="13"/>
        <v/>
      </c>
      <c r="U17" s="56" t="str">
        <f t="shared" si="13"/>
        <v/>
      </c>
      <c r="V17" s="56" t="str">
        <f t="shared" si="13"/>
        <v/>
      </c>
      <c r="W17" s="56" t="str">
        <f t="shared" si="13"/>
        <v/>
      </c>
      <c r="X17" s="56" t="str">
        <f t="shared" si="13"/>
        <v/>
      </c>
      <c r="Y17" s="56" t="str">
        <f t="shared" si="13"/>
        <v>昼</v>
      </c>
      <c r="Z17" s="56" t="str">
        <f t="shared" si="13"/>
        <v>お</v>
      </c>
      <c r="AA17" s="56" t="str">
        <f t="shared" si="13"/>
        <v/>
      </c>
      <c r="AB17" s="56" t="str">
        <f t="shared" si="13"/>
        <v/>
      </c>
      <c r="AC17" s="56" t="str">
        <f t="shared" si="13"/>
        <v/>
      </c>
      <c r="AD17" s="56" t="str">
        <f t="shared" si="13"/>
        <v/>
      </c>
      <c r="AE17" s="56" t="str">
        <f t="shared" si="13"/>
        <v/>
      </c>
      <c r="AF17" s="56" t="str">
        <f t="shared" si="13"/>
        <v>昼</v>
      </c>
      <c r="AG17" s="56" t="str">
        <f t="shared" si="13"/>
        <v>お</v>
      </c>
      <c r="AH17" s="56" t="str">
        <f t="shared" si="13"/>
        <v/>
      </c>
      <c r="AI17" s="56" t="str">
        <f t="shared" si="13"/>
        <v/>
      </c>
      <c r="AJ17" s="56" t="str">
        <f t="shared" si="13"/>
        <v/>
      </c>
      <c r="AK17" s="56" t="str">
        <f t="shared" si="13"/>
        <v/>
      </c>
      <c r="AL17" s="56" t="str">
        <f t="shared" si="13"/>
        <v/>
      </c>
      <c r="AM17" s="56" t="str">
        <f t="shared" si="13"/>
        <v>昼</v>
      </c>
      <c r="AN17" s="56" t="str">
        <f t="shared" si="13"/>
        <v>お</v>
      </c>
      <c r="AO17" s="56" t="str">
        <f t="shared" si="13"/>
        <v/>
      </c>
      <c r="AP17" s="56" t="str">
        <f t="shared" si="13"/>
        <v/>
      </c>
      <c r="AQ17" s="56" t="str">
        <f t="shared" si="13"/>
        <v/>
      </c>
      <c r="AR17" s="56">
        <f t="shared" si="3"/>
        <v>4</v>
      </c>
      <c r="AS17" s="56" t="str">
        <f t="shared" si="4"/>
        <v/>
      </c>
      <c r="AT17" s="56">
        <f t="shared" si="5"/>
        <v>4</v>
      </c>
      <c r="AU17" s="56" t="str">
        <f t="shared" si="6"/>
        <v/>
      </c>
      <c r="AV17" s="56">
        <f t="shared" si="7"/>
        <v>8</v>
      </c>
      <c r="AW17" s="56" t="s">
        <v>323</v>
      </c>
      <c r="AX17" s="59" t="s">
        <v>364</v>
      </c>
      <c r="AY17" s="59">
        <v>9082937045</v>
      </c>
      <c r="AZ17" s="56" t="s">
        <v>336</v>
      </c>
      <c r="BA17" s="59">
        <v>8039162381</v>
      </c>
      <c r="BB17" s="118" t="s">
        <v>326</v>
      </c>
      <c r="BC17" s="56">
        <v>3</v>
      </c>
      <c r="BD17" s="88"/>
      <c r="BE17" s="61" t="s">
        <v>365</v>
      </c>
      <c r="BF17" s="55" t="s">
        <v>366</v>
      </c>
    </row>
    <row r="18" spans="1:58" s="54" customFormat="1" ht="24" customHeight="1" x14ac:dyDescent="0.45">
      <c r="A18" s="72">
        <v>14</v>
      </c>
      <c r="B18" s="57" t="s">
        <v>367</v>
      </c>
      <c r="C18" s="57"/>
      <c r="D18" s="57"/>
      <c r="E18" s="57"/>
      <c r="F18" s="57"/>
      <c r="G18" s="57"/>
      <c r="H18" s="57"/>
      <c r="I18" s="57"/>
      <c r="J18" s="57"/>
      <c r="K18" s="57"/>
      <c r="L18" s="57"/>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t="str">
        <f t="shared" si="3"/>
        <v/>
      </c>
      <c r="AS18" s="56" t="str">
        <f t="shared" si="4"/>
        <v/>
      </c>
      <c r="AT18" s="56" t="str">
        <f t="shared" si="5"/>
        <v/>
      </c>
      <c r="AU18" s="56" t="str">
        <f t="shared" si="6"/>
        <v/>
      </c>
      <c r="AV18" s="56" t="str">
        <f t="shared" si="7"/>
        <v/>
      </c>
      <c r="AW18" s="56" t="s">
        <v>330</v>
      </c>
      <c r="AX18" s="56" t="s">
        <v>368</v>
      </c>
      <c r="AY18" s="59">
        <v>98037966964</v>
      </c>
      <c r="AZ18" s="56" t="s">
        <v>369</v>
      </c>
      <c r="BA18" s="59">
        <v>8064920886</v>
      </c>
      <c r="BB18" s="66" t="s">
        <v>347</v>
      </c>
      <c r="BC18" s="56">
        <v>2</v>
      </c>
      <c r="BD18" s="88"/>
      <c r="BE18" s="61"/>
      <c r="BF18" s="55"/>
    </row>
    <row r="19" spans="1:58" s="54" customFormat="1" ht="24" customHeight="1" x14ac:dyDescent="0.45">
      <c r="A19" s="72">
        <v>15</v>
      </c>
      <c r="B19" s="57" t="s">
        <v>370</v>
      </c>
      <c r="C19" s="57"/>
      <c r="D19" s="57"/>
      <c r="E19" s="57"/>
      <c r="F19" s="57"/>
      <c r="G19" s="57"/>
      <c r="H19" s="57"/>
      <c r="I19" s="57"/>
      <c r="J19" s="57"/>
      <c r="K19" s="57"/>
      <c r="L19" s="57"/>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t="str">
        <f t="shared" si="3"/>
        <v/>
      </c>
      <c r="AS19" s="56" t="str">
        <f t="shared" si="4"/>
        <v/>
      </c>
      <c r="AT19" s="56" t="str">
        <f t="shared" si="5"/>
        <v/>
      </c>
      <c r="AU19" s="56" t="str">
        <f t="shared" si="6"/>
        <v/>
      </c>
      <c r="AV19" s="56" t="str">
        <f t="shared" si="7"/>
        <v/>
      </c>
      <c r="AW19" s="56" t="s">
        <v>323</v>
      </c>
      <c r="AX19" s="56" t="s">
        <v>371</v>
      </c>
      <c r="AY19" s="59">
        <v>9082930790</v>
      </c>
      <c r="AZ19" s="56" t="s">
        <v>372</v>
      </c>
      <c r="BA19" s="59">
        <v>7083029211</v>
      </c>
      <c r="BB19" s="66" t="s">
        <v>337</v>
      </c>
      <c r="BC19" s="56">
        <v>3</v>
      </c>
      <c r="BD19" s="88"/>
      <c r="BE19" s="61"/>
      <c r="BF19" s="55"/>
    </row>
    <row r="20" spans="1:58" s="54" customFormat="1" ht="24" customHeight="1" x14ac:dyDescent="0.45">
      <c r="A20" s="72">
        <v>16</v>
      </c>
      <c r="B20" s="57" t="s">
        <v>373</v>
      </c>
      <c r="C20" s="57"/>
      <c r="D20" s="57"/>
      <c r="E20" s="57"/>
      <c r="F20" s="57"/>
      <c r="G20" s="57"/>
      <c r="H20" s="57"/>
      <c r="I20" s="57"/>
      <c r="J20" s="57"/>
      <c r="K20" s="57"/>
      <c r="L20" s="57"/>
      <c r="M20" s="56"/>
      <c r="N20" s="56"/>
      <c r="O20" s="56"/>
      <c r="P20" s="56"/>
      <c r="Q20" s="56"/>
      <c r="R20" s="56"/>
      <c r="S20" s="56"/>
      <c r="T20" s="56"/>
      <c r="U20" s="56"/>
      <c r="V20" s="56"/>
      <c r="W20" s="56"/>
      <c r="X20" s="56"/>
      <c r="Y20" s="56"/>
      <c r="Z20" s="56"/>
      <c r="AA20" s="56"/>
      <c r="AB20" s="72"/>
      <c r="AC20" s="56"/>
      <c r="AD20" s="56"/>
      <c r="AE20" s="56"/>
      <c r="AF20" s="56"/>
      <c r="AG20" s="56"/>
      <c r="AH20" s="56"/>
      <c r="AI20" s="56"/>
      <c r="AJ20" s="56"/>
      <c r="AK20" s="56"/>
      <c r="AL20" s="56"/>
      <c r="AM20" s="56"/>
      <c r="AN20" s="56"/>
      <c r="AO20" s="56"/>
      <c r="AP20" s="56"/>
      <c r="AQ20" s="56"/>
      <c r="AR20" s="56" t="str">
        <f t="shared" ref="AR20" si="14">IF(COUNTIF($M20:$AQ20,"昼")=0,"",COUNTIF($M20:$AQ20,"昼"))</f>
        <v/>
      </c>
      <c r="AS20" s="56" t="str">
        <f t="shared" ref="AS20" si="15">IF(COUNTIF($M20:$AQ20,"○")=0,"",COUNTIF($M20:$AQ20,"○"))</f>
        <v/>
      </c>
      <c r="AT20" s="56" t="str">
        <f t="shared" ref="AT20" si="16">IF(COUNTIF($M20:$AQ20,"お")=0,"",COUNTIF($M20:$AQ20,"お"))</f>
        <v/>
      </c>
      <c r="AU20" s="56" t="str">
        <f t="shared" ref="AU20" si="17">IF(COUNTIF($M20:$AQ20,"夕")=0,"",COUNTIF($M20:$AQ20,"夕"))</f>
        <v/>
      </c>
      <c r="AV20" s="56" t="str">
        <f t="shared" ref="AV20" si="18">IF(COUNTA(M20:AQ20)=0,"",SUM(AR20:AU20))</f>
        <v/>
      </c>
      <c r="AW20" s="56" t="s">
        <v>323</v>
      </c>
      <c r="AX20" s="56" t="s">
        <v>374</v>
      </c>
      <c r="AY20" s="59">
        <v>8064937799</v>
      </c>
      <c r="AZ20" s="56" t="s">
        <v>375</v>
      </c>
      <c r="BA20" s="59">
        <v>8075301442</v>
      </c>
      <c r="BB20" s="66"/>
      <c r="BC20" s="56"/>
      <c r="BD20" s="88"/>
      <c r="BE20" s="61"/>
      <c r="BF20" s="55"/>
    </row>
    <row r="21" spans="1:58" s="54" customFormat="1" ht="24" customHeight="1" x14ac:dyDescent="0.45">
      <c r="A21" s="72">
        <v>17</v>
      </c>
      <c r="B21" s="57" t="s">
        <v>376</v>
      </c>
      <c r="C21" s="57"/>
      <c r="D21" s="57"/>
      <c r="E21" s="57"/>
      <c r="F21" s="57"/>
      <c r="G21" s="57"/>
      <c r="H21" s="57"/>
      <c r="I21" s="57"/>
      <c r="J21" s="57"/>
      <c r="K21" s="57"/>
      <c r="L21" s="57"/>
      <c r="M21" s="56"/>
      <c r="N21" s="56"/>
      <c r="O21" s="56"/>
      <c r="P21" s="56"/>
      <c r="Q21" s="56"/>
      <c r="R21" s="56"/>
      <c r="S21" s="56"/>
      <c r="T21" s="56"/>
      <c r="U21" s="56"/>
      <c r="V21" s="56"/>
      <c r="W21" s="56"/>
      <c r="X21" s="56"/>
      <c r="Y21" s="56"/>
      <c r="Z21" s="56"/>
      <c r="AA21" s="56"/>
      <c r="AB21" s="56"/>
      <c r="AC21" s="56"/>
      <c r="AD21" s="56"/>
      <c r="AE21" s="56"/>
      <c r="AF21" s="56"/>
      <c r="AG21" s="56"/>
      <c r="AH21" s="56"/>
      <c r="AI21" s="58"/>
      <c r="AJ21" s="56"/>
      <c r="AK21" s="56"/>
      <c r="AL21" s="56"/>
      <c r="AM21" s="56"/>
      <c r="AN21" s="56"/>
      <c r="AO21" s="56"/>
      <c r="AP21" s="56"/>
      <c r="AQ21" s="56"/>
      <c r="AR21" s="56"/>
      <c r="AS21" s="56"/>
      <c r="AT21" s="56"/>
      <c r="AU21" s="56"/>
      <c r="AV21" s="56"/>
      <c r="AW21" s="56" t="s">
        <v>330</v>
      </c>
      <c r="AX21" s="56" t="s">
        <v>377</v>
      </c>
      <c r="AY21" s="59">
        <v>9075866267</v>
      </c>
      <c r="AZ21" s="56" t="s">
        <v>336</v>
      </c>
      <c r="BA21" s="59">
        <v>8039162381</v>
      </c>
      <c r="BB21" s="66" t="s">
        <v>347</v>
      </c>
      <c r="BC21" s="56">
        <v>3</v>
      </c>
      <c r="BD21" s="88"/>
      <c r="BE21" s="61"/>
      <c r="BF21" s="55"/>
    </row>
    <row r="22" spans="1:58" s="54" customFormat="1" ht="24" customHeight="1" x14ac:dyDescent="0.45">
      <c r="A22" s="72">
        <v>18</v>
      </c>
      <c r="B22" s="57" t="s">
        <v>378</v>
      </c>
      <c r="C22" s="57"/>
      <c r="D22" s="57"/>
      <c r="E22" s="57"/>
      <c r="F22" s="57"/>
      <c r="G22" s="57"/>
      <c r="H22" s="57"/>
      <c r="I22" s="57"/>
      <c r="J22" s="57"/>
      <c r="K22" s="57"/>
      <c r="L22" s="57"/>
      <c r="M22" s="56" t="str">
        <f>IF(M$4="月","昼",IF(M$4="火","○",IF(M$4="水","○",IF(M$4="木","お",""))))</f>
        <v>○</v>
      </c>
      <c r="N22" s="56" t="str">
        <f t="shared" ref="N22:AQ22" si="19">IF(N$4="月","昼",IF(N$4="火","○",IF(N$4="水","○",IF(N$4="木","お",""))))</f>
        <v>○</v>
      </c>
      <c r="O22" s="56" t="str">
        <f t="shared" si="19"/>
        <v>お</v>
      </c>
      <c r="P22" s="56" t="str">
        <f t="shared" si="19"/>
        <v/>
      </c>
      <c r="Q22" s="56" t="str">
        <f t="shared" si="19"/>
        <v/>
      </c>
      <c r="R22" s="56" t="str">
        <f t="shared" si="19"/>
        <v/>
      </c>
      <c r="S22" s="56" t="str">
        <f t="shared" si="19"/>
        <v>昼</v>
      </c>
      <c r="T22" s="56" t="str">
        <f t="shared" si="19"/>
        <v>○</v>
      </c>
      <c r="U22" s="56" t="str">
        <f t="shared" si="19"/>
        <v>○</v>
      </c>
      <c r="V22" s="56" t="str">
        <f t="shared" si="19"/>
        <v>お</v>
      </c>
      <c r="W22" s="56" t="str">
        <f t="shared" si="19"/>
        <v/>
      </c>
      <c r="X22" s="56" t="str">
        <f t="shared" si="19"/>
        <v/>
      </c>
      <c r="Y22" s="56" t="str">
        <f t="shared" si="19"/>
        <v/>
      </c>
      <c r="Z22" s="56" t="str">
        <f t="shared" si="19"/>
        <v>昼</v>
      </c>
      <c r="AA22" s="56" t="str">
        <f t="shared" si="19"/>
        <v>○</v>
      </c>
      <c r="AB22" s="56" t="str">
        <f t="shared" si="19"/>
        <v>○</v>
      </c>
      <c r="AC22" s="56" t="str">
        <f t="shared" si="19"/>
        <v>お</v>
      </c>
      <c r="AD22" s="56" t="str">
        <f t="shared" si="19"/>
        <v/>
      </c>
      <c r="AE22" s="56" t="str">
        <f t="shared" si="19"/>
        <v/>
      </c>
      <c r="AF22" s="56" t="str">
        <f t="shared" si="19"/>
        <v/>
      </c>
      <c r="AG22" s="56" t="str">
        <f t="shared" si="19"/>
        <v>昼</v>
      </c>
      <c r="AH22" s="56" t="str">
        <f t="shared" si="19"/>
        <v>○</v>
      </c>
      <c r="AI22" s="56" t="str">
        <f t="shared" si="19"/>
        <v>○</v>
      </c>
      <c r="AJ22" s="56" t="str">
        <f t="shared" si="19"/>
        <v>お</v>
      </c>
      <c r="AK22" s="56" t="str">
        <f t="shared" si="19"/>
        <v/>
      </c>
      <c r="AL22" s="56" t="str">
        <f t="shared" si="19"/>
        <v/>
      </c>
      <c r="AM22" s="56" t="str">
        <f t="shared" si="19"/>
        <v/>
      </c>
      <c r="AN22" s="56" t="str">
        <f t="shared" si="19"/>
        <v>昼</v>
      </c>
      <c r="AO22" s="56" t="str">
        <f t="shared" si="19"/>
        <v>○</v>
      </c>
      <c r="AP22" s="56" t="str">
        <f t="shared" si="19"/>
        <v>○</v>
      </c>
      <c r="AQ22" s="56" t="str">
        <f t="shared" si="19"/>
        <v/>
      </c>
      <c r="AR22" s="56"/>
      <c r="AS22" s="56"/>
      <c r="AT22" s="56"/>
      <c r="AU22" s="56"/>
      <c r="AV22" s="56"/>
      <c r="AW22" s="56" t="s">
        <v>323</v>
      </c>
      <c r="AX22" s="56" t="s">
        <v>379</v>
      </c>
      <c r="AY22" s="59">
        <v>9019438341</v>
      </c>
      <c r="AZ22" s="56" t="s">
        <v>380</v>
      </c>
      <c r="BA22" s="59">
        <v>8033750538</v>
      </c>
      <c r="BB22" s="66" t="s">
        <v>347</v>
      </c>
      <c r="BC22" s="56">
        <v>3</v>
      </c>
      <c r="BD22" s="88"/>
      <c r="BE22" s="61"/>
      <c r="BF22" s="55"/>
    </row>
    <row r="23" spans="1:58" s="54" customFormat="1" ht="24" customHeight="1" x14ac:dyDescent="0.45">
      <c r="A23" s="72">
        <v>19</v>
      </c>
      <c r="B23" s="57" t="s">
        <v>381</v>
      </c>
      <c r="C23" s="57"/>
      <c r="D23" s="57"/>
      <c r="E23" s="57"/>
      <c r="F23" s="57"/>
      <c r="G23" s="57"/>
      <c r="H23" s="57"/>
      <c r="I23" s="57"/>
      <c r="J23" s="57"/>
      <c r="K23" s="57"/>
      <c r="L23" s="57"/>
      <c r="M23" s="56" t="str">
        <f>IF(M$4="火","昼",IF(M$4="水","お",""))</f>
        <v>昼</v>
      </c>
      <c r="N23" s="56" t="str">
        <f t="shared" ref="N23:AQ23" si="20">IF(N$4="火","昼",IF(N$4="水","お",""))</f>
        <v>お</v>
      </c>
      <c r="O23" s="56" t="str">
        <f t="shared" si="20"/>
        <v/>
      </c>
      <c r="P23" s="56" t="str">
        <f t="shared" si="20"/>
        <v/>
      </c>
      <c r="Q23" s="56" t="str">
        <f t="shared" si="20"/>
        <v/>
      </c>
      <c r="R23" s="56" t="str">
        <f t="shared" si="20"/>
        <v/>
      </c>
      <c r="S23" s="56" t="str">
        <f t="shared" si="20"/>
        <v/>
      </c>
      <c r="T23" s="56" t="str">
        <f t="shared" si="20"/>
        <v>昼</v>
      </c>
      <c r="U23" s="56" t="str">
        <f t="shared" si="20"/>
        <v>お</v>
      </c>
      <c r="V23" s="56" t="str">
        <f t="shared" si="20"/>
        <v/>
      </c>
      <c r="W23" s="56" t="str">
        <f t="shared" si="20"/>
        <v/>
      </c>
      <c r="X23" s="56" t="str">
        <f t="shared" si="20"/>
        <v/>
      </c>
      <c r="Y23" s="56" t="str">
        <f t="shared" si="20"/>
        <v/>
      </c>
      <c r="Z23" s="56" t="str">
        <f t="shared" si="20"/>
        <v/>
      </c>
      <c r="AA23" s="56" t="str">
        <f t="shared" si="20"/>
        <v>昼</v>
      </c>
      <c r="AB23" s="56" t="str">
        <f t="shared" si="20"/>
        <v>お</v>
      </c>
      <c r="AC23" s="56" t="str">
        <f t="shared" si="20"/>
        <v/>
      </c>
      <c r="AD23" s="56" t="str">
        <f t="shared" si="20"/>
        <v/>
      </c>
      <c r="AE23" s="56" t="str">
        <f t="shared" si="20"/>
        <v/>
      </c>
      <c r="AF23" s="56" t="str">
        <f t="shared" si="20"/>
        <v/>
      </c>
      <c r="AG23" s="56" t="str">
        <f t="shared" si="20"/>
        <v/>
      </c>
      <c r="AH23" s="56" t="str">
        <f t="shared" si="20"/>
        <v>昼</v>
      </c>
      <c r="AI23" s="56" t="str">
        <f t="shared" si="20"/>
        <v>お</v>
      </c>
      <c r="AJ23" s="56" t="str">
        <f t="shared" si="20"/>
        <v/>
      </c>
      <c r="AK23" s="56" t="str">
        <f t="shared" si="20"/>
        <v/>
      </c>
      <c r="AL23" s="56" t="str">
        <f t="shared" si="20"/>
        <v/>
      </c>
      <c r="AM23" s="56" t="str">
        <f t="shared" si="20"/>
        <v/>
      </c>
      <c r="AN23" s="56" t="str">
        <f t="shared" si="20"/>
        <v/>
      </c>
      <c r="AO23" s="56" t="str">
        <f t="shared" si="20"/>
        <v>昼</v>
      </c>
      <c r="AP23" s="56" t="str">
        <f t="shared" si="20"/>
        <v>お</v>
      </c>
      <c r="AQ23" s="56" t="str">
        <f t="shared" si="20"/>
        <v/>
      </c>
      <c r="AR23" s="56">
        <f t="shared" ref="AR23" si="21">IF(COUNTIF($M23:$AQ23,"昼")=0,"",COUNTIF($M23:$AQ23,"昼"))</f>
        <v>5</v>
      </c>
      <c r="AS23" s="56" t="str">
        <f t="shared" ref="AS23" si="22">IF(COUNTIF($M23:$AQ23,"○")=0,"",COUNTIF($M23:$AQ23,"○"))</f>
        <v/>
      </c>
      <c r="AT23" s="56">
        <f t="shared" ref="AT23" si="23">IF(COUNTIF($M23:$AQ23,"お")=0,"",COUNTIF($M23:$AQ23,"お"))</f>
        <v>5</v>
      </c>
      <c r="AU23" s="56" t="str">
        <f t="shared" ref="AU23" si="24">IF(COUNTIF($M23:$AQ23,"夕")=0,"",COUNTIF($M23:$AQ23,"夕"))</f>
        <v/>
      </c>
      <c r="AV23" s="56">
        <f t="shared" ref="AV23" si="25">IF(COUNTA(M23:AQ23)=0,"",SUM(AR23:AU23))</f>
        <v>10</v>
      </c>
      <c r="AW23" s="56" t="s">
        <v>323</v>
      </c>
      <c r="AX23" s="56" t="s">
        <v>382</v>
      </c>
      <c r="AY23" s="59">
        <v>8017623199</v>
      </c>
      <c r="AZ23" s="56" t="s">
        <v>383</v>
      </c>
      <c r="BA23" s="59">
        <v>9014956645</v>
      </c>
      <c r="BB23" s="66" t="s">
        <v>326</v>
      </c>
      <c r="BC23" s="56">
        <v>3</v>
      </c>
      <c r="BD23" s="88"/>
      <c r="BE23" s="61"/>
      <c r="BF23" s="55"/>
    </row>
    <row r="24" spans="1:58" s="54" customFormat="1" ht="24" customHeight="1" x14ac:dyDescent="0.45">
      <c r="A24" s="72">
        <v>20</v>
      </c>
      <c r="B24" s="57" t="s">
        <v>384</v>
      </c>
      <c r="C24" s="57"/>
      <c r="D24" s="57"/>
      <c r="E24" s="57"/>
      <c r="F24" s="57"/>
      <c r="G24" s="57"/>
      <c r="H24" s="57"/>
      <c r="I24" s="57"/>
      <c r="J24" s="57"/>
      <c r="K24" s="57"/>
      <c r="L24" s="57"/>
      <c r="M24" s="56" t="str">
        <f>IF(M$4="水","昼",IF(M$4="木","○",IF(M$4="金","お","")))</f>
        <v/>
      </c>
      <c r="N24" s="56" t="str">
        <f t="shared" ref="N24:AQ25" si="26">IF(N$4="水","昼",IF(N$4="木","○",IF(N$4="金","お","")))</f>
        <v>昼</v>
      </c>
      <c r="O24" s="56" t="str">
        <f t="shared" si="26"/>
        <v>○</v>
      </c>
      <c r="P24" s="56" t="str">
        <f t="shared" si="26"/>
        <v>お</v>
      </c>
      <c r="Q24" s="56" t="str">
        <f t="shared" si="26"/>
        <v/>
      </c>
      <c r="R24" s="56" t="str">
        <f t="shared" si="26"/>
        <v/>
      </c>
      <c r="S24" s="56" t="str">
        <f t="shared" si="26"/>
        <v/>
      </c>
      <c r="T24" s="56" t="str">
        <f t="shared" si="26"/>
        <v/>
      </c>
      <c r="U24" s="56" t="str">
        <f t="shared" si="26"/>
        <v>昼</v>
      </c>
      <c r="V24" s="56" t="str">
        <f t="shared" si="26"/>
        <v>○</v>
      </c>
      <c r="W24" s="56" t="str">
        <f t="shared" si="26"/>
        <v>お</v>
      </c>
      <c r="X24" s="56" t="str">
        <f t="shared" si="26"/>
        <v/>
      </c>
      <c r="Y24" s="56" t="str">
        <f t="shared" si="26"/>
        <v/>
      </c>
      <c r="Z24" s="56" t="str">
        <f t="shared" si="26"/>
        <v/>
      </c>
      <c r="AA24" s="56" t="str">
        <f t="shared" si="26"/>
        <v/>
      </c>
      <c r="AB24" s="56" t="str">
        <f t="shared" si="26"/>
        <v>昼</v>
      </c>
      <c r="AC24" s="56" t="str">
        <f t="shared" si="26"/>
        <v>○</v>
      </c>
      <c r="AD24" s="56" t="str">
        <f t="shared" si="26"/>
        <v>お</v>
      </c>
      <c r="AE24" s="56" t="str">
        <f t="shared" si="26"/>
        <v/>
      </c>
      <c r="AF24" s="56" t="str">
        <f t="shared" si="26"/>
        <v/>
      </c>
      <c r="AG24" s="56" t="str">
        <f t="shared" si="26"/>
        <v/>
      </c>
      <c r="AH24" s="56" t="str">
        <f t="shared" si="26"/>
        <v/>
      </c>
      <c r="AI24" s="56" t="str">
        <f t="shared" si="26"/>
        <v>昼</v>
      </c>
      <c r="AJ24" s="56" t="str">
        <f t="shared" si="26"/>
        <v>○</v>
      </c>
      <c r="AK24" s="56" t="str">
        <f t="shared" si="26"/>
        <v>お</v>
      </c>
      <c r="AL24" s="56" t="str">
        <f t="shared" si="26"/>
        <v/>
      </c>
      <c r="AM24" s="56" t="str">
        <f t="shared" si="26"/>
        <v/>
      </c>
      <c r="AN24" s="56" t="str">
        <f t="shared" si="26"/>
        <v/>
      </c>
      <c r="AO24" s="56" t="str">
        <f t="shared" si="26"/>
        <v/>
      </c>
      <c r="AP24" s="56" t="str">
        <f t="shared" si="26"/>
        <v>昼</v>
      </c>
      <c r="AQ24" s="56" t="str">
        <f t="shared" si="26"/>
        <v/>
      </c>
      <c r="AR24" s="56"/>
      <c r="AS24" s="56"/>
      <c r="AT24" s="56"/>
      <c r="AU24" s="56"/>
      <c r="AV24" s="56"/>
      <c r="AW24" s="56"/>
      <c r="AX24" s="56" t="s">
        <v>385</v>
      </c>
      <c r="AY24" s="59">
        <v>9097877632</v>
      </c>
      <c r="AZ24" s="56" t="s">
        <v>386</v>
      </c>
      <c r="BA24" s="59">
        <v>8085695618</v>
      </c>
      <c r="BB24" s="66" t="s">
        <v>326</v>
      </c>
      <c r="BC24" s="56">
        <v>3</v>
      </c>
      <c r="BD24" s="88"/>
      <c r="BE24" s="61"/>
      <c r="BF24" s="55"/>
    </row>
    <row r="25" spans="1:58" s="54" customFormat="1" ht="24" customHeight="1" x14ac:dyDescent="0.45">
      <c r="A25" s="72">
        <v>21</v>
      </c>
      <c r="B25" s="57" t="s">
        <v>537</v>
      </c>
      <c r="C25" s="57"/>
      <c r="D25" s="57"/>
      <c r="E25" s="57"/>
      <c r="F25" s="57"/>
      <c r="G25" s="57"/>
      <c r="H25" s="57"/>
      <c r="I25" s="57"/>
      <c r="J25" s="57"/>
      <c r="K25" s="57"/>
      <c r="L25" s="57"/>
      <c r="M25" s="56" t="str">
        <f>IF(M$4="水","昼",IF(M$4="木","○",IF(M$4="金","お","")))</f>
        <v/>
      </c>
      <c r="N25" s="56" t="str">
        <f t="shared" si="26"/>
        <v>昼</v>
      </c>
      <c r="O25" s="56" t="str">
        <f t="shared" si="26"/>
        <v>○</v>
      </c>
      <c r="P25" s="56" t="str">
        <f t="shared" si="26"/>
        <v>お</v>
      </c>
      <c r="Q25" s="56" t="str">
        <f t="shared" si="26"/>
        <v/>
      </c>
      <c r="R25" s="56" t="str">
        <f t="shared" si="26"/>
        <v/>
      </c>
      <c r="S25" s="56" t="str">
        <f t="shared" si="26"/>
        <v/>
      </c>
      <c r="T25" s="56" t="str">
        <f t="shared" si="26"/>
        <v/>
      </c>
      <c r="U25" s="56" t="str">
        <f t="shared" si="26"/>
        <v>昼</v>
      </c>
      <c r="V25" s="56" t="str">
        <f t="shared" si="26"/>
        <v>○</v>
      </c>
      <c r="W25" s="56" t="str">
        <f t="shared" si="26"/>
        <v>お</v>
      </c>
      <c r="X25" s="56" t="str">
        <f t="shared" si="26"/>
        <v/>
      </c>
      <c r="Y25" s="56" t="str">
        <f t="shared" si="26"/>
        <v/>
      </c>
      <c r="Z25" s="56" t="str">
        <f t="shared" si="26"/>
        <v/>
      </c>
      <c r="AA25" s="146" t="str">
        <f t="shared" si="26"/>
        <v/>
      </c>
      <c r="AB25" s="146" t="str">
        <f t="shared" si="26"/>
        <v>昼</v>
      </c>
      <c r="AC25" s="146" t="str">
        <f t="shared" si="26"/>
        <v>○</v>
      </c>
      <c r="AD25" s="56" t="str">
        <f t="shared" si="26"/>
        <v>お</v>
      </c>
      <c r="AE25" s="56" t="str">
        <f t="shared" si="26"/>
        <v/>
      </c>
      <c r="AF25" s="56" t="str">
        <f t="shared" si="26"/>
        <v/>
      </c>
      <c r="AG25" s="56" t="str">
        <f t="shared" si="26"/>
        <v/>
      </c>
      <c r="AH25" s="56" t="str">
        <f t="shared" si="26"/>
        <v/>
      </c>
      <c r="AI25" s="56" t="str">
        <f t="shared" si="26"/>
        <v>昼</v>
      </c>
      <c r="AJ25" s="56" t="str">
        <f t="shared" si="26"/>
        <v>○</v>
      </c>
      <c r="AK25" s="56" t="str">
        <f t="shared" si="26"/>
        <v>お</v>
      </c>
      <c r="AL25" s="56" t="str">
        <f t="shared" si="26"/>
        <v/>
      </c>
      <c r="AM25" s="56" t="str">
        <f t="shared" si="26"/>
        <v/>
      </c>
      <c r="AN25" s="56" t="str">
        <f t="shared" si="26"/>
        <v/>
      </c>
      <c r="AO25" s="56" t="str">
        <f t="shared" si="26"/>
        <v/>
      </c>
      <c r="AP25" s="56" t="str">
        <f t="shared" si="26"/>
        <v>昼</v>
      </c>
      <c r="AQ25" s="56" t="str">
        <f t="shared" si="26"/>
        <v/>
      </c>
      <c r="AR25" s="56">
        <f t="shared" ref="AR25" si="27">IF(COUNTIF($M25:$AQ25,"昼")=0,"",COUNTIF($M25:$AQ25,"昼"))</f>
        <v>5</v>
      </c>
      <c r="AS25" s="56">
        <f t="shared" ref="AS25" si="28">IF(COUNTIF($M25:$AQ25,"○")=0,"",COUNTIF($M25:$AQ25,"○"))</f>
        <v>4</v>
      </c>
      <c r="AT25" s="56">
        <f t="shared" ref="AT25" si="29">IF(COUNTIF($M25:$AQ25,"お")=0,"",COUNTIF($M25:$AQ25,"お"))</f>
        <v>4</v>
      </c>
      <c r="AU25" s="56" t="str">
        <f t="shared" ref="AU25" si="30">IF(COUNTIF($M25:$AQ25,"夕")=0,"",COUNTIF($M25:$AQ25,"夕"))</f>
        <v/>
      </c>
      <c r="AV25" s="56">
        <f t="shared" ref="AV25" si="31">IF(COUNTA(M25:AQ25)=0,"",SUM(AR25:AU25))</f>
        <v>13</v>
      </c>
      <c r="AW25" s="56"/>
      <c r="AX25" s="56" t="s">
        <v>533</v>
      </c>
      <c r="AY25" s="59">
        <v>9073971616</v>
      </c>
      <c r="AZ25" s="56" t="s">
        <v>461</v>
      </c>
      <c r="BA25" s="59">
        <v>8064847234</v>
      </c>
      <c r="BB25" s="66"/>
      <c r="BC25" s="56">
        <v>1</v>
      </c>
      <c r="BD25" s="88"/>
      <c r="BE25" s="61"/>
      <c r="BF25" s="55"/>
    </row>
    <row r="26" spans="1:58" s="54" customFormat="1" ht="24" customHeight="1" x14ac:dyDescent="0.45">
      <c r="A26" s="72">
        <v>22</v>
      </c>
      <c r="B26" s="57"/>
      <c r="C26" s="57"/>
      <c r="D26" s="57"/>
      <c r="E26" s="57"/>
      <c r="F26" s="57"/>
      <c r="G26" s="57"/>
      <c r="H26" s="57"/>
      <c r="I26" s="57"/>
      <c r="J26" s="57"/>
      <c r="K26" s="57"/>
      <c r="L26" s="57"/>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t="str">
        <f t="shared" si="3"/>
        <v/>
      </c>
      <c r="AS26" s="56" t="str">
        <f t="shared" si="4"/>
        <v/>
      </c>
      <c r="AT26" s="56" t="str">
        <f t="shared" si="5"/>
        <v/>
      </c>
      <c r="AU26" s="56" t="str">
        <f t="shared" si="6"/>
        <v/>
      </c>
      <c r="AV26" s="56" t="str">
        <f t="shared" si="7"/>
        <v/>
      </c>
      <c r="AW26" s="56"/>
      <c r="AX26" s="56"/>
      <c r="AY26" s="59"/>
      <c r="AZ26" s="56"/>
      <c r="BA26" s="59"/>
      <c r="BB26" s="66"/>
      <c r="BC26" s="56"/>
      <c r="BD26" s="88"/>
      <c r="BE26" s="61"/>
      <c r="BF26" s="55"/>
    </row>
    <row r="27" spans="1:58" s="54" customFormat="1" ht="24" customHeight="1" x14ac:dyDescent="0.45">
      <c r="A27" s="72"/>
      <c r="B27" s="57" t="s">
        <v>387</v>
      </c>
      <c r="C27" s="57"/>
      <c r="D27" s="57"/>
      <c r="E27" s="57"/>
      <c r="F27" s="57"/>
      <c r="G27" s="57"/>
      <c r="H27" s="57"/>
      <c r="I27" s="57"/>
      <c r="J27" s="57"/>
      <c r="K27" s="57"/>
      <c r="L27" s="57"/>
      <c r="M27" s="56">
        <f t="shared" ref="M27:AU27" si="32">COUNTIF(M5:M26,"朝")+COUNTIF(M5:M26,"昼")+COUNTIF(M5:M26,"夕")+COUNTIF(M5:M26,"お")+COUNTIF(M5:M26,"○")</f>
        <v>6</v>
      </c>
      <c r="N27" s="56">
        <f t="shared" si="32"/>
        <v>8</v>
      </c>
      <c r="O27" s="56">
        <f t="shared" si="32"/>
        <v>9</v>
      </c>
      <c r="P27" s="56">
        <f t="shared" si="32"/>
        <v>8</v>
      </c>
      <c r="Q27" s="56">
        <f t="shared" si="32"/>
        <v>9</v>
      </c>
      <c r="R27" s="56">
        <f t="shared" si="32"/>
        <v>9</v>
      </c>
      <c r="S27" s="56">
        <f t="shared" si="32"/>
        <v>8</v>
      </c>
      <c r="T27" s="56">
        <f t="shared" si="32"/>
        <v>7</v>
      </c>
      <c r="U27" s="56">
        <f t="shared" si="32"/>
        <v>9</v>
      </c>
      <c r="V27" s="56">
        <f t="shared" si="32"/>
        <v>9</v>
      </c>
      <c r="W27" s="56">
        <f t="shared" si="32"/>
        <v>8</v>
      </c>
      <c r="X27" s="56">
        <f t="shared" si="32"/>
        <v>9</v>
      </c>
      <c r="Y27" s="56">
        <f t="shared" si="32"/>
        <v>9</v>
      </c>
      <c r="Z27" s="56">
        <f t="shared" si="32"/>
        <v>7</v>
      </c>
      <c r="AA27" s="56">
        <f t="shared" si="32"/>
        <v>6</v>
      </c>
      <c r="AB27" s="56">
        <f t="shared" si="32"/>
        <v>8</v>
      </c>
      <c r="AC27" s="56">
        <f t="shared" si="32"/>
        <v>9</v>
      </c>
      <c r="AD27" s="56">
        <f t="shared" si="32"/>
        <v>8</v>
      </c>
      <c r="AE27" s="56">
        <f t="shared" si="32"/>
        <v>9</v>
      </c>
      <c r="AF27" s="56">
        <f t="shared" si="32"/>
        <v>9</v>
      </c>
      <c r="AG27" s="56">
        <f t="shared" si="32"/>
        <v>8</v>
      </c>
      <c r="AH27" s="56">
        <f t="shared" si="32"/>
        <v>7</v>
      </c>
      <c r="AI27" s="56">
        <f t="shared" si="32"/>
        <v>9</v>
      </c>
      <c r="AJ27" s="56">
        <f t="shared" si="32"/>
        <v>9</v>
      </c>
      <c r="AK27" s="56">
        <f t="shared" si="32"/>
        <v>8</v>
      </c>
      <c r="AL27" s="56">
        <f t="shared" si="32"/>
        <v>9</v>
      </c>
      <c r="AM27" s="56">
        <f t="shared" si="32"/>
        <v>9</v>
      </c>
      <c r="AN27" s="56">
        <f t="shared" si="32"/>
        <v>8</v>
      </c>
      <c r="AO27" s="56">
        <f t="shared" si="32"/>
        <v>7</v>
      </c>
      <c r="AP27" s="56">
        <f t="shared" si="32"/>
        <v>9</v>
      </c>
      <c r="AQ27" s="56">
        <f t="shared" si="32"/>
        <v>3</v>
      </c>
      <c r="AR27" s="56">
        <f t="shared" si="32"/>
        <v>0</v>
      </c>
      <c r="AS27" s="56">
        <f t="shared" si="32"/>
        <v>0</v>
      </c>
      <c r="AT27" s="56">
        <f t="shared" si="32"/>
        <v>0</v>
      </c>
      <c r="AU27" s="56">
        <f t="shared" si="32"/>
        <v>0</v>
      </c>
      <c r="AV27" s="56">
        <f>SUM(M27:AQ27)</f>
        <v>250</v>
      </c>
      <c r="AW27" s="56"/>
      <c r="AX27" s="63" t="s">
        <v>388</v>
      </c>
      <c r="AY27" s="56" t="s">
        <v>389</v>
      </c>
      <c r="AZ27" s="56"/>
      <c r="BA27" s="56"/>
      <c r="BB27" s="56"/>
      <c r="BC27" s="118" t="s">
        <v>390</v>
      </c>
      <c r="BD27" s="88"/>
      <c r="BE27" s="61"/>
      <c r="BF27" s="55"/>
    </row>
    <row r="28" spans="1:58" s="54" customFormat="1" ht="24" customHeight="1" x14ac:dyDescent="0.45">
      <c r="A28" s="72"/>
      <c r="B28" s="45" t="s">
        <v>391</v>
      </c>
      <c r="C28" s="57"/>
      <c r="D28" s="57"/>
      <c r="E28" s="57"/>
      <c r="F28" s="57"/>
      <c r="G28" s="57"/>
      <c r="H28" s="57"/>
      <c r="I28" s="57"/>
      <c r="J28" s="57"/>
      <c r="K28" s="57"/>
      <c r="L28" s="57"/>
      <c r="M28" s="56">
        <f>8-M27</f>
        <v>2</v>
      </c>
      <c r="N28" s="56">
        <f t="shared" ref="N28:AQ28" si="33">8-N27</f>
        <v>0</v>
      </c>
      <c r="O28" s="56">
        <f t="shared" si="33"/>
        <v>-1</v>
      </c>
      <c r="P28" s="56">
        <f t="shared" si="33"/>
        <v>0</v>
      </c>
      <c r="Q28" s="56">
        <f t="shared" si="33"/>
        <v>-1</v>
      </c>
      <c r="R28" s="56">
        <f t="shared" si="33"/>
        <v>-1</v>
      </c>
      <c r="S28" s="56">
        <f t="shared" si="33"/>
        <v>0</v>
      </c>
      <c r="T28" s="56">
        <f t="shared" si="33"/>
        <v>1</v>
      </c>
      <c r="U28" s="56">
        <f t="shared" si="33"/>
        <v>-1</v>
      </c>
      <c r="V28" s="56">
        <f t="shared" si="33"/>
        <v>-1</v>
      </c>
      <c r="W28" s="56">
        <f t="shared" si="33"/>
        <v>0</v>
      </c>
      <c r="X28" s="56">
        <f t="shared" si="33"/>
        <v>-1</v>
      </c>
      <c r="Y28" s="56">
        <f t="shared" si="33"/>
        <v>-1</v>
      </c>
      <c r="Z28" s="56">
        <f t="shared" si="33"/>
        <v>1</v>
      </c>
      <c r="AA28" s="56">
        <f t="shared" si="33"/>
        <v>2</v>
      </c>
      <c r="AB28" s="56">
        <f t="shared" si="33"/>
        <v>0</v>
      </c>
      <c r="AC28" s="56">
        <f t="shared" si="33"/>
        <v>-1</v>
      </c>
      <c r="AD28" s="56">
        <f t="shared" si="33"/>
        <v>0</v>
      </c>
      <c r="AE28" s="56">
        <f t="shared" si="33"/>
        <v>-1</v>
      </c>
      <c r="AF28" s="56">
        <f t="shared" si="33"/>
        <v>-1</v>
      </c>
      <c r="AG28" s="56">
        <f t="shared" si="33"/>
        <v>0</v>
      </c>
      <c r="AH28" s="56">
        <f t="shared" si="33"/>
        <v>1</v>
      </c>
      <c r="AI28" s="56">
        <f t="shared" si="33"/>
        <v>-1</v>
      </c>
      <c r="AJ28" s="56">
        <f t="shared" si="33"/>
        <v>-1</v>
      </c>
      <c r="AK28" s="56">
        <f t="shared" si="33"/>
        <v>0</v>
      </c>
      <c r="AL28" s="56">
        <f t="shared" si="33"/>
        <v>-1</v>
      </c>
      <c r="AM28" s="56">
        <f t="shared" si="33"/>
        <v>-1</v>
      </c>
      <c r="AN28" s="56">
        <f t="shared" si="33"/>
        <v>0</v>
      </c>
      <c r="AO28" s="56">
        <f t="shared" si="33"/>
        <v>1</v>
      </c>
      <c r="AP28" s="56">
        <f t="shared" si="33"/>
        <v>-1</v>
      </c>
      <c r="AQ28" s="56">
        <f t="shared" si="33"/>
        <v>5</v>
      </c>
      <c r="AR28" s="56"/>
      <c r="AS28" s="56"/>
      <c r="AT28" s="56"/>
      <c r="AU28" s="56"/>
      <c r="AV28" s="56">
        <f t="shared" ref="AV28:AV31" si="34">SUM(M28:AQ28)</f>
        <v>-2</v>
      </c>
      <c r="AW28" s="56"/>
      <c r="AX28" s="63">
        <f>AVERAGE(M27:AQ27)</f>
        <v>8.064516129032258</v>
      </c>
      <c r="AY28" s="65">
        <f>8*365/12-AV27</f>
        <v>-6.6666666666666572</v>
      </c>
      <c r="AZ28" s="65"/>
      <c r="BA28" s="65"/>
      <c r="BB28" s="56"/>
      <c r="BC28" s="63">
        <f>AVERAGE(BC5:BC27)</f>
        <v>2.5263157894736841</v>
      </c>
      <c r="BD28" s="88"/>
      <c r="BE28" s="61"/>
      <c r="BF28" s="55"/>
    </row>
    <row r="29" spans="1:58" s="54" customFormat="1" ht="24" customHeight="1" x14ac:dyDescent="0.45">
      <c r="A29" s="72"/>
      <c r="B29" s="57" t="s">
        <v>392</v>
      </c>
      <c r="C29" s="57"/>
      <c r="D29" s="57"/>
      <c r="E29" s="57"/>
      <c r="F29" s="57"/>
      <c r="G29" s="57"/>
      <c r="H29" s="57"/>
      <c r="I29" s="57"/>
      <c r="J29" s="57"/>
      <c r="K29" s="57"/>
      <c r="L29" s="57"/>
      <c r="M29" s="56">
        <f t="shared" ref="M29:AQ29" si="35">COUNTIF(M5:M26,"昼")</f>
        <v>2</v>
      </c>
      <c r="N29" s="56">
        <f t="shared" si="35"/>
        <v>2</v>
      </c>
      <c r="O29" s="56">
        <f t="shared" si="35"/>
        <v>2</v>
      </c>
      <c r="P29" s="56">
        <f t="shared" si="35"/>
        <v>1</v>
      </c>
      <c r="Q29" s="56">
        <f t="shared" si="35"/>
        <v>3</v>
      </c>
      <c r="R29" s="56">
        <f t="shared" si="35"/>
        <v>1</v>
      </c>
      <c r="S29" s="56">
        <f t="shared" si="35"/>
        <v>1</v>
      </c>
      <c r="T29" s="56">
        <f t="shared" si="35"/>
        <v>2</v>
      </c>
      <c r="U29" s="56">
        <f t="shared" si="35"/>
        <v>2</v>
      </c>
      <c r="V29" s="56">
        <f t="shared" si="35"/>
        <v>1</v>
      </c>
      <c r="W29" s="56">
        <f t="shared" si="35"/>
        <v>1</v>
      </c>
      <c r="X29" s="56">
        <f t="shared" si="35"/>
        <v>3</v>
      </c>
      <c r="Y29" s="56">
        <f t="shared" si="35"/>
        <v>1</v>
      </c>
      <c r="Z29" s="56">
        <f t="shared" si="35"/>
        <v>1</v>
      </c>
      <c r="AA29" s="56">
        <f t="shared" si="35"/>
        <v>2</v>
      </c>
      <c r="AB29" s="56">
        <f t="shared" si="35"/>
        <v>2</v>
      </c>
      <c r="AC29" s="56">
        <f t="shared" si="35"/>
        <v>2</v>
      </c>
      <c r="AD29" s="56">
        <f t="shared" si="35"/>
        <v>1</v>
      </c>
      <c r="AE29" s="56">
        <f t="shared" si="35"/>
        <v>3</v>
      </c>
      <c r="AF29" s="56">
        <f t="shared" si="35"/>
        <v>1</v>
      </c>
      <c r="AG29" s="56">
        <f t="shared" si="35"/>
        <v>1</v>
      </c>
      <c r="AH29" s="56">
        <f t="shared" si="35"/>
        <v>2</v>
      </c>
      <c r="AI29" s="56">
        <f t="shared" si="35"/>
        <v>2</v>
      </c>
      <c r="AJ29" s="56">
        <f t="shared" si="35"/>
        <v>1</v>
      </c>
      <c r="AK29" s="56">
        <f t="shared" si="35"/>
        <v>1</v>
      </c>
      <c r="AL29" s="56">
        <f t="shared" si="35"/>
        <v>3</v>
      </c>
      <c r="AM29" s="56">
        <f t="shared" si="35"/>
        <v>1</v>
      </c>
      <c r="AN29" s="56">
        <f t="shared" si="35"/>
        <v>2</v>
      </c>
      <c r="AO29" s="56">
        <f t="shared" si="35"/>
        <v>2</v>
      </c>
      <c r="AP29" s="56">
        <f t="shared" si="35"/>
        <v>2</v>
      </c>
      <c r="AQ29" s="56">
        <f t="shared" si="35"/>
        <v>0</v>
      </c>
      <c r="AR29" s="56" t="e">
        <f>COUNTIF(#REF!,"昼")</f>
        <v>#REF!</v>
      </c>
      <c r="AS29" s="56" t="e">
        <f>COUNTIF(#REF!,"昼")</f>
        <v>#REF!</v>
      </c>
      <c r="AT29" s="56" t="e">
        <f>COUNTIF(#REF!,"昼")</f>
        <v>#REF!</v>
      </c>
      <c r="AU29" s="56" t="e">
        <f>COUNTIF(#REF!,"昼")</f>
        <v>#REF!</v>
      </c>
      <c r="AV29" s="56">
        <f t="shared" si="34"/>
        <v>51</v>
      </c>
      <c r="AW29" s="56"/>
      <c r="AX29" s="56"/>
      <c r="AY29" s="56" t="s">
        <v>393</v>
      </c>
      <c r="AZ29" s="56"/>
      <c r="BA29" s="56"/>
      <c r="BB29" s="66"/>
      <c r="BC29" s="66"/>
      <c r="BD29" s="88"/>
      <c r="BE29" s="61"/>
      <c r="BF29" s="55"/>
    </row>
    <row r="30" spans="1:58" s="54" customFormat="1" ht="24" customHeight="1" x14ac:dyDescent="0.45">
      <c r="A30" s="72"/>
      <c r="B30" s="57" t="s">
        <v>394</v>
      </c>
      <c r="C30" s="57"/>
      <c r="D30" s="57"/>
      <c r="E30" s="57"/>
      <c r="F30" s="57"/>
      <c r="G30" s="57"/>
      <c r="H30" s="57"/>
      <c r="I30" s="57"/>
      <c r="J30" s="57"/>
      <c r="K30" s="57"/>
      <c r="L30" s="57"/>
      <c r="M30" s="56">
        <f t="shared" ref="M30:AQ30" si="36">COUNTIF(M5:M27,"お")</f>
        <v>0</v>
      </c>
      <c r="N30" s="56">
        <f t="shared" si="36"/>
        <v>1</v>
      </c>
      <c r="O30" s="56">
        <f t="shared" si="36"/>
        <v>1</v>
      </c>
      <c r="P30" s="56">
        <f t="shared" si="36"/>
        <v>2</v>
      </c>
      <c r="Q30" s="56">
        <f t="shared" si="36"/>
        <v>0</v>
      </c>
      <c r="R30" s="56">
        <f t="shared" si="36"/>
        <v>1</v>
      </c>
      <c r="S30" s="56">
        <f t="shared" si="36"/>
        <v>2</v>
      </c>
      <c r="T30" s="56">
        <f t="shared" si="36"/>
        <v>0</v>
      </c>
      <c r="U30" s="56">
        <f t="shared" si="36"/>
        <v>1</v>
      </c>
      <c r="V30" s="56">
        <f t="shared" si="36"/>
        <v>1</v>
      </c>
      <c r="W30" s="56">
        <f t="shared" si="36"/>
        <v>2</v>
      </c>
      <c r="X30" s="56">
        <f t="shared" si="36"/>
        <v>0</v>
      </c>
      <c r="Y30" s="56">
        <f t="shared" si="36"/>
        <v>2</v>
      </c>
      <c r="Z30" s="56">
        <f t="shared" si="36"/>
        <v>2</v>
      </c>
      <c r="AA30" s="56">
        <f t="shared" si="36"/>
        <v>0</v>
      </c>
      <c r="AB30" s="56">
        <f t="shared" si="36"/>
        <v>1</v>
      </c>
      <c r="AC30" s="56">
        <f t="shared" si="36"/>
        <v>1</v>
      </c>
      <c r="AD30" s="56">
        <f t="shared" si="36"/>
        <v>2</v>
      </c>
      <c r="AE30" s="56">
        <f t="shared" si="36"/>
        <v>0</v>
      </c>
      <c r="AF30" s="56">
        <f t="shared" si="36"/>
        <v>1</v>
      </c>
      <c r="AG30" s="56">
        <f t="shared" si="36"/>
        <v>2</v>
      </c>
      <c r="AH30" s="56">
        <f t="shared" si="36"/>
        <v>0</v>
      </c>
      <c r="AI30" s="56">
        <f t="shared" si="36"/>
        <v>1</v>
      </c>
      <c r="AJ30" s="56">
        <f t="shared" si="36"/>
        <v>1</v>
      </c>
      <c r="AK30" s="56">
        <f t="shared" si="36"/>
        <v>2</v>
      </c>
      <c r="AL30" s="56">
        <f t="shared" si="36"/>
        <v>0</v>
      </c>
      <c r="AM30" s="56">
        <f t="shared" si="36"/>
        <v>2</v>
      </c>
      <c r="AN30" s="56">
        <f t="shared" si="36"/>
        <v>2</v>
      </c>
      <c r="AO30" s="56">
        <f t="shared" si="36"/>
        <v>0</v>
      </c>
      <c r="AP30" s="56">
        <f t="shared" si="36"/>
        <v>1</v>
      </c>
      <c r="AQ30" s="56">
        <f t="shared" si="36"/>
        <v>0</v>
      </c>
      <c r="AR30" s="56">
        <f>COUNTIF(AR5:AR26,"お")</f>
        <v>0</v>
      </c>
      <c r="AS30" s="56">
        <f>COUNTIF(AS5:AS26,"お")</f>
        <v>0</v>
      </c>
      <c r="AT30" s="56">
        <f>COUNTIF(AT5:AT26,"お")</f>
        <v>0</v>
      </c>
      <c r="AU30" s="56">
        <f>COUNTIF(AU5:AU26,"お")</f>
        <v>0</v>
      </c>
      <c r="AV30" s="56">
        <f t="shared" si="34"/>
        <v>31</v>
      </c>
      <c r="AW30" s="56"/>
      <c r="AX30" s="56"/>
      <c r="AY30" s="56"/>
      <c r="AZ30" s="56"/>
      <c r="BA30" s="56"/>
      <c r="BB30" s="66"/>
      <c r="BC30" s="66"/>
      <c r="BD30" s="67"/>
      <c r="BE30" s="61"/>
      <c r="BF30" s="55"/>
    </row>
    <row r="31" spans="1:58" s="54" customFormat="1" ht="24" customHeight="1" x14ac:dyDescent="0.45">
      <c r="A31" s="72"/>
      <c r="B31" s="57" t="s">
        <v>395</v>
      </c>
      <c r="C31" s="57"/>
      <c r="D31" s="57"/>
      <c r="E31" s="57"/>
      <c r="F31" s="57"/>
      <c r="G31" s="57"/>
      <c r="H31" s="57"/>
      <c r="I31" s="57"/>
      <c r="J31" s="57"/>
      <c r="K31" s="57"/>
      <c r="L31" s="57"/>
      <c r="M31" s="56">
        <f t="shared" ref="M31:AQ31" si="37">COUNTIF(M5:M26,"お")+COUNTIF(M5:M26,"夕")</f>
        <v>0</v>
      </c>
      <c r="N31" s="56">
        <f t="shared" si="37"/>
        <v>1</v>
      </c>
      <c r="O31" s="56">
        <f t="shared" si="37"/>
        <v>2</v>
      </c>
      <c r="P31" s="56">
        <f t="shared" si="37"/>
        <v>2</v>
      </c>
      <c r="Q31" s="56">
        <f t="shared" si="37"/>
        <v>1</v>
      </c>
      <c r="R31" s="56">
        <f t="shared" si="37"/>
        <v>2</v>
      </c>
      <c r="S31" s="56">
        <f t="shared" si="37"/>
        <v>3</v>
      </c>
      <c r="T31" s="56">
        <f t="shared" si="37"/>
        <v>0</v>
      </c>
      <c r="U31" s="56">
        <f t="shared" si="37"/>
        <v>1</v>
      </c>
      <c r="V31" s="56">
        <f t="shared" si="37"/>
        <v>2</v>
      </c>
      <c r="W31" s="56">
        <f t="shared" si="37"/>
        <v>2</v>
      </c>
      <c r="X31" s="56">
        <f t="shared" si="37"/>
        <v>1</v>
      </c>
      <c r="Y31" s="56">
        <f t="shared" si="37"/>
        <v>3</v>
      </c>
      <c r="Z31" s="56">
        <f t="shared" si="37"/>
        <v>3</v>
      </c>
      <c r="AA31" s="56">
        <f t="shared" si="37"/>
        <v>0</v>
      </c>
      <c r="AB31" s="56">
        <f t="shared" si="37"/>
        <v>1</v>
      </c>
      <c r="AC31" s="56">
        <f t="shared" si="37"/>
        <v>2</v>
      </c>
      <c r="AD31" s="56">
        <f t="shared" si="37"/>
        <v>2</v>
      </c>
      <c r="AE31" s="56">
        <f t="shared" si="37"/>
        <v>1</v>
      </c>
      <c r="AF31" s="56">
        <f t="shared" si="37"/>
        <v>2</v>
      </c>
      <c r="AG31" s="56">
        <f t="shared" si="37"/>
        <v>3</v>
      </c>
      <c r="AH31" s="56">
        <f t="shared" si="37"/>
        <v>0</v>
      </c>
      <c r="AI31" s="56">
        <f t="shared" si="37"/>
        <v>1</v>
      </c>
      <c r="AJ31" s="56">
        <f t="shared" si="37"/>
        <v>2</v>
      </c>
      <c r="AK31" s="56">
        <f t="shared" si="37"/>
        <v>2</v>
      </c>
      <c r="AL31" s="56">
        <f t="shared" si="37"/>
        <v>1</v>
      </c>
      <c r="AM31" s="56">
        <f t="shared" si="37"/>
        <v>3</v>
      </c>
      <c r="AN31" s="56">
        <f t="shared" si="37"/>
        <v>3</v>
      </c>
      <c r="AO31" s="56">
        <f t="shared" si="37"/>
        <v>0</v>
      </c>
      <c r="AP31" s="56">
        <f t="shared" si="37"/>
        <v>1</v>
      </c>
      <c r="AQ31" s="56">
        <f t="shared" si="37"/>
        <v>0</v>
      </c>
      <c r="AR31" s="56" t="e">
        <f>COUNTIF(#REF!,"お")+COUNTIF(#REF!,"夕")</f>
        <v>#REF!</v>
      </c>
      <c r="AS31" s="56" t="e">
        <f>COUNTIF(#REF!,"お")+COUNTIF(#REF!,"夕")</f>
        <v>#REF!</v>
      </c>
      <c r="AT31" s="56" t="e">
        <f>COUNTIF(#REF!,"お")+COUNTIF(#REF!,"夕")</f>
        <v>#REF!</v>
      </c>
      <c r="AU31" s="56" t="e">
        <f>COUNTIF(#REF!,"お")+COUNTIF(#REF!,"夕")</f>
        <v>#REF!</v>
      </c>
      <c r="AV31" s="56">
        <f t="shared" si="34"/>
        <v>47</v>
      </c>
      <c r="AW31" s="56"/>
      <c r="AX31" s="56"/>
      <c r="AY31" s="56"/>
      <c r="AZ31" s="56"/>
      <c r="BA31" s="56"/>
      <c r="BB31" s="66"/>
      <c r="BC31" s="66"/>
      <c r="BD31" s="67"/>
      <c r="BE31" s="61"/>
      <c r="BF31" s="55"/>
    </row>
    <row r="32" spans="1:58" s="54" customFormat="1" ht="24" customHeight="1" x14ac:dyDescent="0.45">
      <c r="A32" s="72"/>
      <c r="BB32" s="69"/>
      <c r="BC32" s="115"/>
      <c r="BD32" s="88"/>
      <c r="BE32" s="61"/>
      <c r="BF32" s="55"/>
    </row>
    <row r="33" spans="1:58" s="54" customFormat="1" ht="24" customHeight="1" x14ac:dyDescent="0.45">
      <c r="A33" s="72"/>
      <c r="BB33" s="69" t="s">
        <v>396</v>
      </c>
      <c r="BC33" s="115"/>
      <c r="BD33" s="88"/>
      <c r="BE33" s="61"/>
      <c r="BF33" s="55"/>
    </row>
    <row r="34" spans="1:58" s="54" customFormat="1" ht="24" customHeight="1" x14ac:dyDescent="0.45">
      <c r="A34" s="72"/>
      <c r="BB34" s="69"/>
      <c r="BC34" s="115"/>
      <c r="BD34" s="88"/>
      <c r="BE34" s="61"/>
      <c r="BF34" s="55"/>
    </row>
    <row r="35" spans="1:58" s="54" customFormat="1" ht="24" customHeight="1" x14ac:dyDescent="0.45">
      <c r="A35" s="72"/>
      <c r="BB35" s="69"/>
      <c r="BC35" s="115"/>
      <c r="BD35" s="69"/>
      <c r="BE35" s="61"/>
      <c r="BF35" s="55"/>
    </row>
    <row r="36" spans="1:58" s="54" customFormat="1" ht="24" customHeight="1" x14ac:dyDescent="0.45">
      <c r="A36" s="7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70"/>
      <c r="BC36" s="116"/>
      <c r="BD36" s="69"/>
      <c r="BE36" s="61"/>
      <c r="BF36" s="55"/>
    </row>
    <row r="37" spans="1:58" s="54" customFormat="1" ht="24" customHeight="1" x14ac:dyDescent="0.45">
      <c r="A37" s="7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70"/>
      <c r="BC37" s="116"/>
      <c r="BD37" s="69"/>
      <c r="BE37" s="61"/>
      <c r="BF37" s="55"/>
    </row>
    <row r="38" spans="1:58" s="54" customFormat="1" ht="24" customHeight="1" x14ac:dyDescent="0.45">
      <c r="A38" s="72"/>
      <c r="B38" s="57" t="s">
        <v>397</v>
      </c>
      <c r="C38" s="57"/>
      <c r="D38" s="57"/>
      <c r="E38" s="57"/>
      <c r="F38" s="57"/>
      <c r="G38" s="57"/>
      <c r="H38" s="57"/>
      <c r="I38" s="57"/>
      <c r="J38" s="57" t="str">
        <f t="shared" ref="J38:J39" si="38">IF(COUNTA(C38:I38)=0,"",COUNTA(C38:I38))</f>
        <v/>
      </c>
      <c r="K38" s="57"/>
      <c r="L38" s="57"/>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t="str">
        <f t="shared" ref="AR38:AR39" si="39">IF(COUNTIF($M38:$AQ38,"昼")=0,"",COUNTIF($M38:$AQ38,"昼"))</f>
        <v/>
      </c>
      <c r="AS38" s="56" t="str">
        <f t="shared" ref="AS38:AS39" si="40">IF(COUNTIF($M38:$AQ38,"○")=0,"",COUNTIF($M38:$AQ38,"○"))</f>
        <v/>
      </c>
      <c r="AT38" s="56" t="str">
        <f t="shared" ref="AT38:AT39" si="41">IF(COUNTIF($M38:$AQ38,"お")=0,"",COUNTIF($M38:$AQ38,"お"))</f>
        <v/>
      </c>
      <c r="AU38" s="56" t="str">
        <f t="shared" ref="AU38:AU39" si="42">IF(COUNTIF($M38:$AQ38,"夕")=0,"",COUNTIF($M38:$AQ38,"夕"))</f>
        <v/>
      </c>
      <c r="AV38" s="56" t="str">
        <f t="shared" ref="AV38:AV39" si="43">IF(COUNTA(M38:AQ38)=0,"",SUM(AR38:AU38))</f>
        <v/>
      </c>
      <c r="AW38" s="56"/>
      <c r="AX38" s="56" t="s">
        <v>398</v>
      </c>
      <c r="AY38" s="59">
        <v>9068599322</v>
      </c>
      <c r="AZ38" s="59"/>
      <c r="BA38" s="59"/>
      <c r="BB38" s="66"/>
      <c r="BC38" s="66"/>
      <c r="BD38" s="69"/>
      <c r="BE38" s="55"/>
    </row>
    <row r="39" spans="1:58" s="54" customFormat="1" ht="24" customHeight="1" x14ac:dyDescent="0.45">
      <c r="A39" s="73"/>
      <c r="B39" s="57" t="s">
        <v>399</v>
      </c>
      <c r="C39" s="57"/>
      <c r="D39" s="57"/>
      <c r="E39" s="57"/>
      <c r="F39" s="57"/>
      <c r="G39" s="57"/>
      <c r="H39" s="57"/>
      <c r="I39" s="57"/>
      <c r="J39" s="57" t="str">
        <f t="shared" si="38"/>
        <v/>
      </c>
      <c r="K39" s="57"/>
      <c r="L39" s="57"/>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t="str">
        <f t="shared" si="39"/>
        <v/>
      </c>
      <c r="AS39" s="56" t="str">
        <f t="shared" si="40"/>
        <v/>
      </c>
      <c r="AT39" s="56" t="str">
        <f t="shared" si="41"/>
        <v/>
      </c>
      <c r="AU39" s="56" t="str">
        <f t="shared" si="42"/>
        <v/>
      </c>
      <c r="AV39" s="56" t="str">
        <f t="shared" si="43"/>
        <v/>
      </c>
      <c r="AW39" s="56"/>
      <c r="AX39" s="56" t="s">
        <v>400</v>
      </c>
      <c r="AY39" s="59">
        <v>8046668865</v>
      </c>
      <c r="AZ39" s="59"/>
      <c r="BA39" s="59"/>
      <c r="BB39" s="66"/>
      <c r="BC39" s="66"/>
      <c r="BD39" s="70"/>
      <c r="BE39" s="53"/>
      <c r="BF39" s="55" t="s">
        <v>401</v>
      </c>
    </row>
    <row r="40" spans="1:58" s="54" customFormat="1" ht="24" customHeight="1" x14ac:dyDescent="0.45">
      <c r="A40" s="53"/>
      <c r="B40" s="57" t="s">
        <v>354</v>
      </c>
      <c r="C40" s="57"/>
      <c r="D40" s="57"/>
      <c r="E40" s="57"/>
      <c r="F40" s="57"/>
      <c r="G40" s="57"/>
      <c r="H40" s="57"/>
      <c r="I40" s="57"/>
      <c r="J40" s="57"/>
      <c r="K40" s="57"/>
      <c r="L40" s="57"/>
      <c r="M40" s="56"/>
      <c r="N40" s="56"/>
      <c r="O40" s="56"/>
      <c r="P40" s="56"/>
      <c r="Q40" s="56"/>
      <c r="R40" s="56"/>
      <c r="S40" s="56"/>
      <c r="T40" s="56"/>
      <c r="U40" s="56"/>
      <c r="V40" s="56"/>
      <c r="W40" s="56"/>
      <c r="X40" s="56"/>
      <c r="Y40" s="56"/>
      <c r="Z40" s="56"/>
      <c r="AA40" s="56" t="s">
        <v>352</v>
      </c>
      <c r="AB40" s="56" t="s">
        <v>320</v>
      </c>
      <c r="AC40" s="56"/>
      <c r="AD40" s="56"/>
      <c r="AE40" s="58"/>
      <c r="AF40" s="56"/>
      <c r="AG40" s="56"/>
      <c r="AH40" s="56"/>
      <c r="AI40" s="56"/>
      <c r="AJ40" s="56"/>
      <c r="AK40" s="56"/>
      <c r="AL40" s="56"/>
      <c r="AM40" s="56"/>
      <c r="AN40" s="56"/>
      <c r="AO40" s="56"/>
      <c r="AP40" s="56"/>
      <c r="AQ40" s="56"/>
      <c r="AR40" s="56"/>
      <c r="AS40" s="56"/>
      <c r="AT40" s="56"/>
      <c r="AU40" s="56"/>
      <c r="AV40" s="56"/>
      <c r="AW40" s="56">
        <v>223</v>
      </c>
      <c r="AX40" s="56" t="s">
        <v>355</v>
      </c>
      <c r="AY40" s="59">
        <v>9094067262</v>
      </c>
      <c r="AZ40" s="56" t="s">
        <v>356</v>
      </c>
      <c r="BA40" s="59">
        <v>7012498633</v>
      </c>
      <c r="BB40" s="66" t="s">
        <v>326</v>
      </c>
      <c r="BC40" s="56">
        <v>2</v>
      </c>
      <c r="BD40" s="88"/>
      <c r="BE40" s="53"/>
      <c r="BF40" s="55"/>
    </row>
    <row r="41" spans="1:58" s="54" customFormat="1" ht="24" customHeight="1" x14ac:dyDescent="0.45">
      <c r="A41" s="53"/>
      <c r="B41" s="57" t="s">
        <v>376</v>
      </c>
      <c r="C41" s="57"/>
      <c r="D41" s="57"/>
      <c r="E41" s="57"/>
      <c r="F41" s="57"/>
      <c r="G41" s="57"/>
      <c r="H41" s="57"/>
      <c r="I41" s="57"/>
      <c r="J41" s="57"/>
      <c r="K41" s="57"/>
      <c r="L41" s="57"/>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t="s">
        <v>377</v>
      </c>
      <c r="AY41" s="59">
        <v>9075866267</v>
      </c>
      <c r="AZ41" s="56" t="s">
        <v>336</v>
      </c>
      <c r="BA41" s="59">
        <v>8039162381</v>
      </c>
      <c r="BB41" s="66" t="s">
        <v>347</v>
      </c>
      <c r="BC41" s="56">
        <v>3</v>
      </c>
      <c r="BD41" s="88"/>
      <c r="BE41" s="53"/>
      <c r="BF41" s="55"/>
    </row>
    <row r="42" spans="1:58" s="54" customFormat="1" ht="24" customHeight="1" x14ac:dyDescent="0.45">
      <c r="A42" s="53"/>
      <c r="B42" s="57" t="s">
        <v>367</v>
      </c>
      <c r="C42" s="57"/>
      <c r="D42" s="57"/>
      <c r="E42" s="57"/>
      <c r="F42" s="57"/>
      <c r="G42" s="57"/>
      <c r="H42" s="57"/>
      <c r="I42" s="57"/>
      <c r="J42" s="57"/>
      <c r="K42" s="57"/>
      <c r="L42" s="57"/>
      <c r="M42" s="56"/>
      <c r="N42" s="56"/>
      <c r="O42" s="56"/>
      <c r="P42" s="58"/>
      <c r="Q42" s="56"/>
      <c r="R42" s="56"/>
      <c r="S42" s="56"/>
      <c r="T42" s="56"/>
      <c r="U42" s="56"/>
      <c r="V42" s="56"/>
      <c r="W42" s="58"/>
      <c r="X42" s="56"/>
      <c r="Y42" s="56"/>
      <c r="Z42" s="56"/>
      <c r="AA42" s="56"/>
      <c r="AB42" s="56"/>
      <c r="AC42" s="56"/>
      <c r="AD42" s="58"/>
      <c r="AE42" s="58"/>
      <c r="AF42" s="56"/>
      <c r="AG42" s="56"/>
      <c r="AH42" s="56"/>
      <c r="AI42" s="56"/>
      <c r="AJ42" s="56"/>
      <c r="AK42" s="56"/>
      <c r="AL42" s="56"/>
      <c r="AM42" s="56"/>
      <c r="AN42" s="56"/>
      <c r="AO42" s="56"/>
      <c r="AP42" s="56"/>
      <c r="AQ42" s="56"/>
      <c r="AR42" s="56"/>
      <c r="AS42" s="56"/>
      <c r="AT42" s="56"/>
      <c r="AU42" s="56"/>
      <c r="AV42" s="56"/>
      <c r="AW42" s="56">
        <v>223</v>
      </c>
      <c r="AX42" s="56" t="s">
        <v>356</v>
      </c>
      <c r="AY42" s="59">
        <v>7012498633</v>
      </c>
      <c r="AZ42" s="56" t="s">
        <v>402</v>
      </c>
      <c r="BA42" s="59">
        <v>9057498087</v>
      </c>
      <c r="BB42" s="66" t="s">
        <v>326</v>
      </c>
      <c r="BC42" s="115"/>
      <c r="BD42" s="88"/>
      <c r="BE42" s="53"/>
      <c r="BF42" s="55"/>
    </row>
    <row r="43" spans="1:58" s="54" customFormat="1" ht="24" customHeight="1" x14ac:dyDescent="0.45">
      <c r="A43" s="48"/>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70"/>
      <c r="BC43" s="116"/>
      <c r="BD43" s="88"/>
      <c r="BE43" s="53"/>
      <c r="BF43" s="55"/>
    </row>
    <row r="44" spans="1:58" s="54" customFormat="1" ht="24" customHeight="1" x14ac:dyDescent="0.45">
      <c r="A44" s="48"/>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70"/>
      <c r="BC44" s="116"/>
      <c r="BD44" s="88"/>
      <c r="BE44" s="53"/>
      <c r="BF44" s="55"/>
    </row>
    <row r="45" spans="1:58" s="54" customFormat="1" ht="26.4" customHeight="1" x14ac:dyDescent="0.45">
      <c r="A45" s="72">
        <v>18</v>
      </c>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70"/>
      <c r="BC45" s="116"/>
      <c r="BD45" s="70"/>
      <c r="BE45" s="53"/>
      <c r="BF45" s="55"/>
    </row>
    <row r="46" spans="1:58" s="54" customFormat="1" ht="26.4" customHeight="1" x14ac:dyDescent="0.45">
      <c r="A46" s="72">
        <v>19</v>
      </c>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70"/>
    </row>
    <row r="47" spans="1:58" s="54" customFormat="1" ht="26.4" customHeight="1" x14ac:dyDescent="0.45">
      <c r="A47" s="72">
        <v>20</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70"/>
      <c r="BE47" s="53"/>
    </row>
    <row r="48" spans="1:58" s="54" customFormat="1" ht="26.4" customHeight="1" x14ac:dyDescent="0.45">
      <c r="A48" s="72">
        <v>21</v>
      </c>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row>
    <row r="49" spans="1:58" s="54" customFormat="1" ht="26.4" customHeight="1" x14ac:dyDescent="0.45">
      <c r="A49" s="72">
        <v>22</v>
      </c>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0" spans="1:58" s="54" customFormat="1" ht="26.4" customHeight="1" x14ac:dyDescent="0.45">
      <c r="A50" s="72">
        <v>23</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1.6" x14ac:dyDescent="0.45">
      <c r="A51" s="48"/>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2" spans="1:58" s="54" customFormat="1" ht="21.6" x14ac:dyDescent="0.45">
      <c r="A52" s="48"/>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row>
    <row r="53" spans="1:58" s="54" customFormat="1" ht="21.6"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row>
    <row r="54" spans="1:58" s="54" customFormat="1" ht="21.6"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row>
    <row r="56" spans="1:58" s="54" customFormat="1" ht="26.4" customHeight="1"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c r="BF56" s="55"/>
    </row>
    <row r="57" spans="1:58" s="54" customFormat="1" ht="26.4" customHeight="1"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c r="BF57" s="55"/>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row r="59" spans="1:58" s="54" customFormat="1" ht="26.4" customHeight="1" x14ac:dyDescent="0.45">
      <c r="A59" s="48"/>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70"/>
      <c r="BC59" s="116"/>
      <c r="BD59" s="70"/>
      <c r="BE59" s="53"/>
      <c r="BF59" s="55"/>
    </row>
    <row r="60" spans="1:58" s="54" customFormat="1" ht="26.4" customHeight="1" x14ac:dyDescent="0.45">
      <c r="A60" s="48"/>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70"/>
      <c r="BC60" s="116"/>
      <c r="BD60" s="70"/>
      <c r="BE60" s="53"/>
      <c r="BF60" s="55"/>
    </row>
    <row r="61" spans="1:58" s="54" customFormat="1" ht="26.4" customHeight="1" x14ac:dyDescent="0.45">
      <c r="A61" s="48"/>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70"/>
      <c r="BC61" s="116"/>
      <c r="BD61" s="70"/>
      <c r="BE61" s="53"/>
      <c r="BF61" s="55"/>
    </row>
  </sheetData>
  <mergeCells count="19">
    <mergeCell ref="BD3:BD4"/>
    <mergeCell ref="BB3:BB4"/>
    <mergeCell ref="C3:J4"/>
    <mergeCell ref="K3:L4"/>
    <mergeCell ref="AV3:AV4"/>
    <mergeCell ref="AX3:AX4"/>
    <mergeCell ref="AY3:AY4"/>
    <mergeCell ref="AW3:AW4"/>
    <mergeCell ref="AZ3:AZ4"/>
    <mergeCell ref="BA3:BA4"/>
    <mergeCell ref="BC3:BC4"/>
    <mergeCell ref="V1:AN2"/>
    <mergeCell ref="AQ1:AV1"/>
    <mergeCell ref="AO2:AV2"/>
    <mergeCell ref="B3:B4"/>
    <mergeCell ref="A3:A4"/>
    <mergeCell ref="P1:R2"/>
    <mergeCell ref="S1:S2"/>
    <mergeCell ref="T1:U2"/>
  </mergeCells>
  <phoneticPr fontId="1"/>
  <conditionalFormatting sqref="M8:AJ8 AL8:AQ8">
    <cfRule type="cellIs" dxfId="125" priority="19" operator="equal">
      <formula>"""夕"""</formula>
    </cfRule>
  </conditionalFormatting>
  <conditionalFormatting sqref="M5:AQ7 M8:AJ8 AL8:AQ8 AQ14">
    <cfRule type="cellIs" dxfId="124" priority="17" operator="equal">
      <formula>"お"</formula>
    </cfRule>
    <cfRule type="cellIs" dxfId="123" priority="18" operator="equal">
      <formula>"夕"</formula>
    </cfRule>
  </conditionalFormatting>
  <conditionalFormatting sqref="M4:AU4">
    <cfRule type="cellIs" dxfId="122" priority="22" operator="equal">
      <formula>"土"</formula>
    </cfRule>
    <cfRule type="cellIs" dxfId="121" priority="23" operator="equal">
      <formula>"日"</formula>
    </cfRule>
  </conditionalFormatting>
  <conditionalFormatting sqref="M27:AU27">
    <cfRule type="cellIs" dxfId="120" priority="20" operator="greaterThan">
      <formula>7</formula>
    </cfRule>
    <cfRule type="cellIs" dxfId="119" priority="21" operator="greaterThan">
      <formula>6</formula>
    </cfRule>
  </conditionalFormatting>
  <conditionalFormatting sqref="M15:AW26">
    <cfRule type="cellIs" dxfId="118" priority="1" operator="equal">
      <formula>"お"</formula>
    </cfRule>
    <cfRule type="cellIs" dxfId="117" priority="2" operator="equal">
      <formula>"夕"</formula>
    </cfRule>
  </conditionalFormatting>
  <conditionalFormatting sqref="M38:AW42">
    <cfRule type="cellIs" dxfId="116" priority="15" operator="equal">
      <formula>"お"</formula>
    </cfRule>
    <cfRule type="cellIs" dxfId="115" priority="16" operator="equal">
      <formula>"夕"</formula>
    </cfRule>
  </conditionalFormatting>
  <conditionalFormatting sqref="AR5:AW14 M9:AQ13 M14:AM14">
    <cfRule type="cellIs" dxfId="114" priority="11" operator="equal">
      <formula>"お"</formula>
    </cfRule>
    <cfRule type="cellIs" dxfId="113" priority="12"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9" scale="6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818C-3B1E-481F-8B78-311D0509E67C}">
  <sheetPr codeName="Sheet4"/>
  <dimension ref="A1:BL38"/>
  <sheetViews>
    <sheetView zoomScaleNormal="100" workbookViewId="0">
      <selection activeCell="E9" sqref="E9"/>
    </sheetView>
  </sheetViews>
  <sheetFormatPr defaultColWidth="8.69921875" defaultRowHeight="13.2" x14ac:dyDescent="0.45"/>
  <cols>
    <col min="1" max="1" width="64.5" style="90" customWidth="1"/>
    <col min="2" max="2" width="67.59765625" style="130" customWidth="1"/>
    <col min="3" max="16384" width="8.69921875" style="130"/>
  </cols>
  <sheetData>
    <row r="1" spans="1:64" ht="29.4" customHeight="1" x14ac:dyDescent="0.45"/>
    <row r="2" spans="1:64" x14ac:dyDescent="0.45">
      <c r="A2" s="134" t="s">
        <v>403</v>
      </c>
      <c r="B2" s="134" t="s">
        <v>404</v>
      </c>
    </row>
    <row r="3" spans="1:64" ht="42" customHeight="1" x14ac:dyDescent="0.45">
      <c r="A3" s="136" t="s">
        <v>405</v>
      </c>
      <c r="B3" s="136" t="s">
        <v>406</v>
      </c>
    </row>
    <row r="4" spans="1:64" s="131" customFormat="1" ht="19.95" customHeight="1" x14ac:dyDescent="0.45">
      <c r="A4" s="134" t="s">
        <v>407</v>
      </c>
      <c r="B4" s="135" t="s">
        <v>408</v>
      </c>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c r="BH4" s="130"/>
      <c r="BI4" s="130"/>
      <c r="BJ4" s="130"/>
      <c r="BK4" s="130"/>
      <c r="BL4" s="130"/>
    </row>
    <row r="5" spans="1:64" s="132" customFormat="1" ht="40.200000000000003" customHeight="1" x14ac:dyDescent="0.45">
      <c r="A5" s="136" t="s">
        <v>409</v>
      </c>
      <c r="B5" s="137" t="s">
        <v>410</v>
      </c>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row>
    <row r="6" spans="1:64" s="133" customFormat="1" ht="19.95" customHeight="1" x14ac:dyDescent="0.45">
      <c r="A6" s="138" t="s">
        <v>411</v>
      </c>
      <c r="B6" s="134" t="s">
        <v>412</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0"/>
      <c r="BK6" s="130"/>
      <c r="BL6" s="130"/>
    </row>
    <row r="7" spans="1:64" s="132" customFormat="1" ht="40.200000000000003" customHeight="1" x14ac:dyDescent="0.45">
      <c r="A7" s="136" t="s">
        <v>413</v>
      </c>
      <c r="B7" s="136" t="s">
        <v>414</v>
      </c>
      <c r="C7" s="130"/>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130"/>
      <c r="AZ7" s="130"/>
      <c r="BA7" s="130"/>
      <c r="BB7" s="130"/>
      <c r="BC7" s="130"/>
      <c r="BD7" s="130"/>
      <c r="BE7" s="130"/>
      <c r="BF7" s="130"/>
      <c r="BG7" s="130"/>
      <c r="BH7" s="130"/>
      <c r="BI7" s="130"/>
      <c r="BJ7" s="130"/>
      <c r="BK7" s="130"/>
      <c r="BL7" s="130"/>
    </row>
    <row r="8" spans="1:64" s="133" customFormat="1" ht="19.95" customHeight="1" x14ac:dyDescent="0.45">
      <c r="A8" s="138" t="s">
        <v>415</v>
      </c>
      <c r="B8" s="134" t="s">
        <v>416</v>
      </c>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c r="AY8" s="130"/>
      <c r="AZ8" s="130"/>
      <c r="BA8" s="130"/>
      <c r="BB8" s="130"/>
      <c r="BC8" s="130"/>
      <c r="BD8" s="130"/>
      <c r="BE8" s="130"/>
      <c r="BF8" s="130"/>
      <c r="BG8" s="130"/>
      <c r="BH8" s="130"/>
      <c r="BI8" s="130"/>
      <c r="BJ8" s="130"/>
      <c r="BK8" s="130"/>
      <c r="BL8" s="130"/>
    </row>
    <row r="9" spans="1:64" s="132" customFormat="1" ht="40.200000000000003" customHeight="1" x14ac:dyDescent="0.45">
      <c r="A9" s="136" t="s">
        <v>417</v>
      </c>
      <c r="B9" s="136" t="s">
        <v>418</v>
      </c>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row>
    <row r="10" spans="1:64" ht="22.2" customHeight="1" x14ac:dyDescent="0.45">
      <c r="A10" s="134" t="s">
        <v>419</v>
      </c>
      <c r="B10" s="134" t="s">
        <v>420</v>
      </c>
    </row>
    <row r="11" spans="1:64" ht="40.200000000000003" customHeight="1" x14ac:dyDescent="0.45">
      <c r="A11" s="136" t="s">
        <v>421</v>
      </c>
      <c r="B11" s="136" t="s">
        <v>422</v>
      </c>
    </row>
    <row r="12" spans="1:64" s="133" customFormat="1" ht="20.399999999999999" customHeight="1" x14ac:dyDescent="0.45">
      <c r="A12" s="138" t="s">
        <v>423</v>
      </c>
      <c r="B12" s="140"/>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0"/>
      <c r="BK12" s="130"/>
      <c r="BL12" s="130"/>
    </row>
    <row r="13" spans="1:64" s="132" customFormat="1" ht="53.4" customHeight="1" x14ac:dyDescent="0.45">
      <c r="A13" s="136" t="s">
        <v>424</v>
      </c>
      <c r="B13" s="137" t="s">
        <v>425</v>
      </c>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30"/>
      <c r="AK13" s="130"/>
      <c r="AL13" s="130"/>
      <c r="AM13" s="130"/>
      <c r="AN13" s="130"/>
      <c r="AO13" s="130"/>
      <c r="AP13" s="130"/>
      <c r="AQ13" s="130"/>
      <c r="AR13" s="130"/>
      <c r="AS13" s="130"/>
      <c r="AT13" s="130"/>
      <c r="AU13" s="130"/>
      <c r="AV13" s="130"/>
      <c r="AW13" s="130"/>
      <c r="AX13" s="130"/>
      <c r="AY13" s="130"/>
      <c r="AZ13" s="130"/>
      <c r="BA13" s="130"/>
      <c r="BB13" s="130"/>
      <c r="BC13" s="130"/>
      <c r="BD13" s="130"/>
      <c r="BE13" s="130"/>
      <c r="BF13" s="130"/>
      <c r="BG13" s="130"/>
      <c r="BH13" s="130"/>
      <c r="BI13" s="130"/>
      <c r="BJ13" s="130"/>
      <c r="BK13" s="130"/>
      <c r="BL13" s="130"/>
    </row>
    <row r="14" spans="1:64" ht="58.2" customHeight="1" x14ac:dyDescent="0.45"/>
    <row r="15" spans="1:64" x14ac:dyDescent="0.45">
      <c r="A15" s="90" t="s">
        <v>426</v>
      </c>
    </row>
    <row r="16" spans="1:64" ht="82.95" customHeight="1" x14ac:dyDescent="0.45">
      <c r="A16" s="91" t="s">
        <v>427</v>
      </c>
    </row>
    <row r="21" spans="1:1" ht="34.950000000000003" customHeight="1" x14ac:dyDescent="0.45">
      <c r="A21" s="91"/>
    </row>
    <row r="38" spans="1:1" ht="409.6" x14ac:dyDescent="0.45">
      <c r="A38" s="91" t="s">
        <v>428</v>
      </c>
    </row>
  </sheetData>
  <phoneticPr fontId="1"/>
  <pageMargins left="0.7" right="0.7" top="0.75" bottom="0.75" header="0.3" footer="0.3"/>
  <pageSetup paperSize="9" scale="61" orientation="portrait" r:id="rId1"/>
  <colBreaks count="1" manualBreakCount="1">
    <brk id="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6812-127F-4269-A6D9-70EFE2D0FFC7}">
  <sheetPr codeName="Sheet3"/>
  <dimension ref="A1:Q29"/>
  <sheetViews>
    <sheetView zoomScaleNormal="100" workbookViewId="0">
      <selection activeCell="P10" sqref="P10"/>
    </sheetView>
  </sheetViews>
  <sheetFormatPr defaultColWidth="8.69921875" defaultRowHeight="18" x14ac:dyDescent="0.45"/>
  <cols>
    <col min="1" max="5" width="8.69921875" style="77"/>
    <col min="6" max="6" width="8" style="77" customWidth="1"/>
    <col min="7" max="11" width="8.69921875" style="77"/>
    <col min="12" max="12" width="12.19921875" style="77" customWidth="1"/>
    <col min="13" max="13" width="8" style="77" customWidth="1"/>
    <col min="14" max="14" width="7.09765625" style="77" customWidth="1"/>
    <col min="15" max="15" width="8.69921875" style="77"/>
    <col min="16" max="16" width="30" style="77" customWidth="1"/>
    <col min="17" max="16384" width="8.69921875" style="77"/>
  </cols>
  <sheetData>
    <row r="1" spans="1:16" ht="22.2" x14ac:dyDescent="0.45">
      <c r="A1" s="79" t="s">
        <v>429</v>
      </c>
      <c r="B1" s="81"/>
    </row>
    <row r="2" spans="1:16" x14ac:dyDescent="0.45">
      <c r="A2" s="187" t="s">
        <v>430</v>
      </c>
      <c r="B2" s="187"/>
      <c r="C2" s="187"/>
      <c r="D2" s="187"/>
      <c r="E2" s="187"/>
      <c r="F2" s="187"/>
      <c r="G2" s="187"/>
      <c r="H2" s="187"/>
      <c r="I2" s="187"/>
      <c r="J2" s="187"/>
      <c r="K2" s="187"/>
      <c r="L2" s="187"/>
    </row>
    <row r="3" spans="1:16" x14ac:dyDescent="0.45">
      <c r="A3" s="187"/>
      <c r="B3" s="187"/>
      <c r="C3" s="187"/>
      <c r="D3" s="187"/>
      <c r="E3" s="187"/>
      <c r="F3" s="187"/>
      <c r="G3" s="187"/>
      <c r="H3" s="187"/>
      <c r="I3" s="187"/>
      <c r="J3" s="187"/>
      <c r="K3" s="187"/>
      <c r="L3" s="187"/>
    </row>
    <row r="4" spans="1:16" x14ac:dyDescent="0.45">
      <c r="A4" s="187"/>
      <c r="B4" s="187"/>
      <c r="C4" s="187"/>
      <c r="D4" s="187"/>
      <c r="E4" s="187"/>
      <c r="F4" s="187"/>
      <c r="G4" s="187"/>
      <c r="H4" s="187"/>
      <c r="I4" s="187"/>
      <c r="J4" s="187"/>
      <c r="K4" s="187"/>
      <c r="L4" s="187"/>
    </row>
    <row r="5" spans="1:16" ht="33" customHeight="1" x14ac:dyDescent="0.45">
      <c r="A5" s="187" t="s">
        <v>431</v>
      </c>
      <c r="B5" s="187"/>
      <c r="C5" s="187"/>
      <c r="D5" s="187"/>
      <c r="E5" s="187"/>
      <c r="F5" s="187"/>
      <c r="G5" s="187"/>
      <c r="H5" s="187"/>
      <c r="I5" s="187"/>
      <c r="J5" s="187"/>
      <c r="K5" s="187"/>
      <c r="L5" s="187"/>
      <c r="M5" s="80"/>
      <c r="P5" s="80"/>
    </row>
    <row r="6" spans="1:16" ht="32.4" customHeight="1" x14ac:dyDescent="0.45">
      <c r="A6" s="187" t="s">
        <v>432</v>
      </c>
      <c r="B6" s="187"/>
      <c r="C6" s="187"/>
      <c r="D6" s="187"/>
      <c r="E6" s="187"/>
      <c r="F6" s="187"/>
      <c r="G6" s="187"/>
      <c r="H6" s="187"/>
      <c r="I6" s="187"/>
      <c r="J6" s="187"/>
      <c r="K6" s="187"/>
      <c r="L6" s="187"/>
    </row>
    <row r="7" spans="1:16" ht="32.4" customHeight="1" x14ac:dyDescent="0.45">
      <c r="A7" s="192" t="s">
        <v>433</v>
      </c>
      <c r="B7" s="193"/>
      <c r="C7" s="193"/>
      <c r="D7" s="193"/>
      <c r="E7" s="193"/>
      <c r="F7" s="193"/>
      <c r="G7" s="193"/>
      <c r="H7" s="193"/>
      <c r="I7" s="193"/>
      <c r="J7" s="193"/>
      <c r="K7" s="193"/>
      <c r="L7" s="194"/>
    </row>
    <row r="8" spans="1:16" ht="32.4" customHeight="1" x14ac:dyDescent="0.45">
      <c r="A8" s="192" t="s">
        <v>434</v>
      </c>
      <c r="B8" s="193"/>
      <c r="C8" s="193"/>
      <c r="D8" s="193"/>
      <c r="E8" s="193"/>
      <c r="F8" s="193"/>
      <c r="G8" s="193"/>
      <c r="H8" s="193"/>
      <c r="I8" s="193"/>
      <c r="J8" s="193"/>
      <c r="K8" s="193"/>
      <c r="L8" s="194"/>
    </row>
    <row r="9" spans="1:16" ht="48.6" customHeight="1" x14ac:dyDescent="0.45">
      <c r="A9" s="192" t="s">
        <v>435</v>
      </c>
      <c r="B9" s="193"/>
      <c r="C9" s="193"/>
      <c r="D9" s="193"/>
      <c r="E9" s="193"/>
      <c r="F9" s="193"/>
      <c r="G9" s="193"/>
      <c r="H9" s="193"/>
      <c r="I9" s="193"/>
      <c r="J9" s="193"/>
      <c r="K9" s="193"/>
      <c r="L9" s="194"/>
    </row>
    <row r="10" spans="1:16" ht="49.95" customHeight="1" x14ac:dyDescent="0.45">
      <c r="A10" s="187" t="s">
        <v>436</v>
      </c>
      <c r="B10" s="187"/>
      <c r="C10" s="187"/>
      <c r="D10" s="187"/>
      <c r="E10" s="187"/>
      <c r="F10" s="187"/>
      <c r="G10" s="187"/>
      <c r="H10" s="187"/>
      <c r="I10" s="187"/>
      <c r="J10" s="187"/>
      <c r="K10" s="187"/>
      <c r="L10" s="187"/>
    </row>
    <row r="11" spans="1:16" ht="22.2" x14ac:dyDescent="0.45">
      <c r="A11" s="79" t="s">
        <v>437</v>
      </c>
    </row>
    <row r="12" spans="1:16" x14ac:dyDescent="0.45">
      <c r="A12" s="188" t="s">
        <v>438</v>
      </c>
      <c r="B12" s="188"/>
      <c r="C12" s="188"/>
      <c r="D12" s="188"/>
      <c r="E12" s="188"/>
      <c r="F12" s="188"/>
      <c r="G12" s="188"/>
      <c r="H12" s="188"/>
      <c r="I12" s="188"/>
      <c r="J12" s="188"/>
      <c r="K12" s="188"/>
      <c r="L12" s="188"/>
    </row>
    <row r="13" spans="1:16" x14ac:dyDescent="0.45">
      <c r="A13" s="188" t="s">
        <v>439</v>
      </c>
      <c r="B13" s="188"/>
      <c r="C13" s="188" t="s">
        <v>440</v>
      </c>
      <c r="D13" s="188"/>
      <c r="E13" s="188"/>
      <c r="F13" s="188"/>
      <c r="G13" s="188" t="s">
        <v>441</v>
      </c>
      <c r="H13" s="188"/>
    </row>
    <row r="14" spans="1:16" x14ac:dyDescent="0.45">
      <c r="A14" s="188" t="s">
        <v>442</v>
      </c>
      <c r="B14" s="188"/>
      <c r="C14" s="188"/>
      <c r="D14" s="188"/>
      <c r="E14" s="188"/>
      <c r="F14" s="188"/>
      <c r="G14" s="188"/>
      <c r="H14" s="188"/>
    </row>
    <row r="15" spans="1:16" x14ac:dyDescent="0.45">
      <c r="A15" s="188" t="s">
        <v>443</v>
      </c>
      <c r="B15" s="188"/>
      <c r="C15" s="188" t="s">
        <v>444</v>
      </c>
      <c r="D15" s="188"/>
      <c r="E15" s="188"/>
      <c r="F15" s="188"/>
      <c r="G15" s="201" t="s">
        <v>445</v>
      </c>
      <c r="H15" s="201"/>
    </row>
    <row r="16" spans="1:16" x14ac:dyDescent="0.45">
      <c r="A16" s="191" t="s">
        <v>446</v>
      </c>
      <c r="B16" s="191"/>
      <c r="C16" s="191"/>
      <c r="D16" s="191"/>
      <c r="E16" s="191"/>
      <c r="F16" s="191"/>
      <c r="G16" s="191"/>
      <c r="H16" s="191"/>
    </row>
    <row r="17" spans="1:17" x14ac:dyDescent="0.45">
      <c r="A17" s="191"/>
      <c r="B17" s="191"/>
      <c r="C17" s="191"/>
      <c r="D17" s="191"/>
      <c r="E17" s="191"/>
      <c r="F17" s="191"/>
      <c r="G17" s="191"/>
      <c r="H17" s="191"/>
      <c r="I17" s="191"/>
      <c r="J17" s="191"/>
      <c r="K17" s="191"/>
      <c r="L17" s="191"/>
    </row>
    <row r="18" spans="1:17" x14ac:dyDescent="0.45">
      <c r="A18" s="190" t="s">
        <v>447</v>
      </c>
      <c r="B18" s="190"/>
      <c r="C18" s="190"/>
      <c r="D18" s="190"/>
      <c r="E18" s="190"/>
      <c r="F18" s="190"/>
      <c r="G18" s="190"/>
      <c r="H18" s="190"/>
      <c r="I18" s="190"/>
      <c r="J18" s="190"/>
      <c r="K18" s="190"/>
      <c r="L18" s="190"/>
    </row>
    <row r="19" spans="1:17" ht="33" customHeight="1" x14ac:dyDescent="0.45">
      <c r="A19" s="190"/>
      <c r="B19" s="190"/>
      <c r="C19" s="190"/>
      <c r="D19" s="190"/>
      <c r="E19" s="190"/>
      <c r="F19" s="190"/>
      <c r="G19" s="190"/>
      <c r="H19" s="190"/>
      <c r="I19" s="190"/>
      <c r="J19" s="190"/>
      <c r="K19" s="190"/>
      <c r="L19" s="190"/>
    </row>
    <row r="20" spans="1:17" ht="44.4" customHeight="1" x14ac:dyDescent="0.45">
      <c r="A20" s="189" t="s">
        <v>448</v>
      </c>
      <c r="B20" s="189"/>
      <c r="C20" s="189"/>
      <c r="D20" s="189"/>
      <c r="E20" s="189"/>
      <c r="F20" s="189"/>
      <c r="G20" s="189"/>
      <c r="H20" s="189"/>
      <c r="I20" s="189"/>
      <c r="J20" s="189"/>
      <c r="K20" s="189"/>
      <c r="L20" s="189"/>
      <c r="M20" s="78"/>
      <c r="N20" s="78"/>
      <c r="O20" s="78"/>
      <c r="P20" s="78"/>
      <c r="Q20" s="78"/>
    </row>
    <row r="21" spans="1:17" ht="44.4" customHeight="1" x14ac:dyDescent="0.45">
      <c r="A21" s="195" t="s">
        <v>449</v>
      </c>
      <c r="B21" s="196"/>
      <c r="C21" s="196"/>
      <c r="D21" s="196"/>
      <c r="E21" s="196"/>
      <c r="F21" s="196"/>
      <c r="G21" s="196"/>
      <c r="H21" s="196"/>
      <c r="I21" s="196"/>
      <c r="J21" s="196"/>
      <c r="K21" s="196"/>
      <c r="L21" s="197"/>
      <c r="M21" s="78"/>
      <c r="N21" s="78"/>
      <c r="O21" s="78"/>
      <c r="P21" s="78"/>
      <c r="Q21" s="78"/>
    </row>
    <row r="22" spans="1:17" ht="44.4" customHeight="1" x14ac:dyDescent="0.45">
      <c r="A22" s="195" t="s">
        <v>450</v>
      </c>
      <c r="B22" s="196"/>
      <c r="C22" s="196"/>
      <c r="D22" s="196"/>
      <c r="E22" s="196"/>
      <c r="F22" s="196"/>
      <c r="G22" s="196"/>
      <c r="H22" s="196"/>
      <c r="I22" s="196"/>
      <c r="J22" s="196"/>
      <c r="K22" s="196"/>
      <c r="L22" s="197"/>
      <c r="M22" s="78"/>
      <c r="N22" s="78"/>
      <c r="O22" s="78"/>
      <c r="P22" s="78"/>
      <c r="Q22" s="78"/>
    </row>
    <row r="23" spans="1:17" ht="44.4" customHeight="1" x14ac:dyDescent="0.45">
      <c r="A23" s="195" t="s">
        <v>451</v>
      </c>
      <c r="B23" s="196"/>
      <c r="C23" s="196"/>
      <c r="D23" s="196"/>
      <c r="E23" s="196"/>
      <c r="F23" s="196"/>
      <c r="G23" s="196"/>
      <c r="H23" s="196"/>
      <c r="I23" s="196"/>
      <c r="J23" s="196"/>
      <c r="K23" s="196"/>
      <c r="L23" s="197"/>
      <c r="M23" s="78"/>
      <c r="N23" s="78"/>
      <c r="O23" s="78"/>
      <c r="P23" s="78"/>
      <c r="Q23" s="78"/>
    </row>
    <row r="24" spans="1:17" ht="44.4" customHeight="1" x14ac:dyDescent="0.45">
      <c r="A24" s="195"/>
      <c r="B24" s="196"/>
      <c r="C24" s="196"/>
      <c r="D24" s="196"/>
      <c r="E24" s="196"/>
      <c r="F24" s="196"/>
      <c r="G24" s="196"/>
      <c r="H24" s="196"/>
      <c r="I24" s="196"/>
      <c r="J24" s="196"/>
      <c r="K24" s="196"/>
      <c r="L24" s="197"/>
      <c r="M24" s="78"/>
      <c r="N24" s="78"/>
      <c r="O24" s="78"/>
      <c r="P24" s="78"/>
      <c r="Q24" s="78"/>
    </row>
    <row r="25" spans="1:17" ht="44.4" customHeight="1" x14ac:dyDescent="0.45">
      <c r="A25" s="198"/>
      <c r="B25" s="199"/>
      <c r="C25" s="199"/>
      <c r="D25" s="199"/>
      <c r="E25" s="199"/>
      <c r="F25" s="199"/>
      <c r="G25" s="199"/>
      <c r="H25" s="199"/>
      <c r="I25" s="199"/>
      <c r="J25" s="199"/>
      <c r="K25" s="199"/>
      <c r="L25" s="200"/>
      <c r="M25" s="78"/>
      <c r="N25" s="78"/>
      <c r="O25" s="78"/>
      <c r="P25" s="78"/>
      <c r="Q25" s="78"/>
    </row>
    <row r="26" spans="1:17" ht="44.4" customHeight="1" x14ac:dyDescent="0.45">
      <c r="A26" s="195"/>
      <c r="B26" s="196"/>
      <c r="C26" s="196"/>
      <c r="D26" s="196"/>
      <c r="E26" s="196"/>
      <c r="F26" s="196"/>
      <c r="G26" s="196"/>
      <c r="H26" s="196"/>
      <c r="I26" s="196"/>
      <c r="J26" s="196"/>
      <c r="K26" s="196"/>
      <c r="L26" s="197"/>
      <c r="M26" s="78"/>
      <c r="N26" s="78"/>
      <c r="O26" s="78"/>
      <c r="P26" s="78"/>
      <c r="Q26" s="78"/>
    </row>
    <row r="27" spans="1:17" ht="44.4" customHeight="1" x14ac:dyDescent="0.45">
      <c r="A27" s="195"/>
      <c r="B27" s="196"/>
      <c r="C27" s="196"/>
      <c r="D27" s="196"/>
      <c r="E27" s="196"/>
      <c r="F27" s="196"/>
      <c r="G27" s="196"/>
      <c r="H27" s="196"/>
      <c r="I27" s="196"/>
      <c r="J27" s="196"/>
      <c r="K27" s="196"/>
      <c r="L27" s="197"/>
      <c r="M27" s="78"/>
      <c r="N27" s="78"/>
      <c r="O27" s="78"/>
      <c r="P27" s="78"/>
      <c r="Q27" s="78"/>
    </row>
    <row r="28" spans="1:17" ht="44.4" customHeight="1" x14ac:dyDescent="0.45">
      <c r="A28" s="195"/>
      <c r="B28" s="196"/>
      <c r="C28" s="196"/>
      <c r="D28" s="196"/>
      <c r="E28" s="196"/>
      <c r="F28" s="196"/>
      <c r="G28" s="196"/>
      <c r="H28" s="196"/>
      <c r="I28" s="196"/>
      <c r="J28" s="196"/>
      <c r="K28" s="196"/>
      <c r="L28" s="197"/>
      <c r="M28" s="78"/>
      <c r="N28" s="78"/>
      <c r="O28" s="78"/>
      <c r="P28" s="78"/>
      <c r="Q28" s="78"/>
    </row>
    <row r="29" spans="1:17" ht="37.950000000000003" customHeight="1" x14ac:dyDescent="0.45">
      <c r="A29" s="187"/>
      <c r="B29" s="187"/>
      <c r="C29" s="187"/>
      <c r="D29" s="187"/>
      <c r="E29" s="187"/>
      <c r="F29" s="187"/>
      <c r="G29" s="187"/>
      <c r="H29" s="187"/>
      <c r="I29" s="187"/>
      <c r="J29" s="187"/>
      <c r="K29" s="187"/>
      <c r="L29" s="187"/>
    </row>
  </sheetData>
  <mergeCells count="28">
    <mergeCell ref="A26:L26"/>
    <mergeCell ref="A2:L4"/>
    <mergeCell ref="A13:B13"/>
    <mergeCell ref="C13:F13"/>
    <mergeCell ref="G13:H13"/>
    <mergeCell ref="A15:B15"/>
    <mergeCell ref="C15:F15"/>
    <mergeCell ref="G15:H15"/>
    <mergeCell ref="A10:L10"/>
    <mergeCell ref="A6:L6"/>
    <mergeCell ref="A7:L7"/>
    <mergeCell ref="A8:L8"/>
    <mergeCell ref="A29:L29"/>
    <mergeCell ref="A12:L12"/>
    <mergeCell ref="A5:L5"/>
    <mergeCell ref="A20:L20"/>
    <mergeCell ref="A18:L19"/>
    <mergeCell ref="A16:H16"/>
    <mergeCell ref="A17:L17"/>
    <mergeCell ref="A9:L9"/>
    <mergeCell ref="A14:H14"/>
    <mergeCell ref="A27:L27"/>
    <mergeCell ref="A28:L28"/>
    <mergeCell ref="A23:L23"/>
    <mergeCell ref="A24:L24"/>
    <mergeCell ref="A21:L21"/>
    <mergeCell ref="A22:L22"/>
    <mergeCell ref="A25:L25"/>
  </mergeCells>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7DC1-22DB-4EA4-96AF-36ECFEBB547F}">
  <dimension ref="A1:BF58"/>
  <sheetViews>
    <sheetView zoomScale="70" zoomScaleNormal="70" workbookViewId="0">
      <pane ySplit="4" topLeftCell="A15" activePane="bottomLeft" state="frozen"/>
      <selection pane="bottomLeft" activeCell="AZ6" sqref="AZ6:BA6"/>
    </sheetView>
  </sheetViews>
  <sheetFormatPr defaultColWidth="8.69921875" defaultRowHeight="18" x14ac:dyDescent="0.45"/>
  <cols>
    <col min="1" max="1" width="4.69921875" style="48" customWidth="1"/>
    <col min="2" max="2" width="17.89843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19.5976562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2</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6.4" customHeight="1" x14ac:dyDescent="0.45">
      <c r="A3" s="168"/>
      <c r="B3" s="170" t="s">
        <v>0</v>
      </c>
      <c r="C3" s="165" t="s">
        <v>309</v>
      </c>
      <c r="D3" s="165"/>
      <c r="E3" s="165"/>
      <c r="F3" s="165"/>
      <c r="G3" s="165"/>
      <c r="H3" s="165"/>
      <c r="I3" s="165"/>
      <c r="J3" s="165"/>
      <c r="K3" s="165" t="s">
        <v>310</v>
      </c>
      <c r="L3" s="165"/>
      <c r="M3" s="52">
        <f>BE4</f>
        <v>46054</v>
      </c>
      <c r="N3" s="52">
        <f t="shared" ref="N3:AQ3" si="0">IF(M3=$BE$6,"",IF(M3="","",M3+1))</f>
        <v>46055</v>
      </c>
      <c r="O3" s="52">
        <f t="shared" si="0"/>
        <v>46056</v>
      </c>
      <c r="P3" s="52">
        <f t="shared" si="0"/>
        <v>46057</v>
      </c>
      <c r="Q3" s="52">
        <f t="shared" si="0"/>
        <v>46058</v>
      </c>
      <c r="R3" s="52">
        <f t="shared" si="0"/>
        <v>46059</v>
      </c>
      <c r="S3" s="52">
        <f t="shared" si="0"/>
        <v>46060</v>
      </c>
      <c r="T3" s="52">
        <f t="shared" si="0"/>
        <v>46061</v>
      </c>
      <c r="U3" s="52">
        <f t="shared" si="0"/>
        <v>46062</v>
      </c>
      <c r="V3" s="52">
        <f t="shared" si="0"/>
        <v>46063</v>
      </c>
      <c r="W3" s="52">
        <f t="shared" si="0"/>
        <v>46064</v>
      </c>
      <c r="X3" s="52">
        <f t="shared" si="0"/>
        <v>46065</v>
      </c>
      <c r="Y3" s="52">
        <f t="shared" si="0"/>
        <v>46066</v>
      </c>
      <c r="Z3" s="52">
        <f t="shared" si="0"/>
        <v>46067</v>
      </c>
      <c r="AA3" s="52">
        <f t="shared" si="0"/>
        <v>46068</v>
      </c>
      <c r="AB3" s="52">
        <f t="shared" si="0"/>
        <v>46069</v>
      </c>
      <c r="AC3" s="52">
        <f t="shared" si="0"/>
        <v>46070</v>
      </c>
      <c r="AD3" s="52">
        <f t="shared" si="0"/>
        <v>46071</v>
      </c>
      <c r="AE3" s="52">
        <f t="shared" si="0"/>
        <v>46072</v>
      </c>
      <c r="AF3" s="52">
        <f t="shared" si="0"/>
        <v>46073</v>
      </c>
      <c r="AG3" s="52">
        <f t="shared" si="0"/>
        <v>46074</v>
      </c>
      <c r="AH3" s="52">
        <f t="shared" si="0"/>
        <v>46075</v>
      </c>
      <c r="AI3" s="52">
        <f t="shared" si="0"/>
        <v>46076</v>
      </c>
      <c r="AJ3" s="52">
        <f t="shared" si="0"/>
        <v>46077</v>
      </c>
      <c r="AK3" s="52">
        <f t="shared" si="0"/>
        <v>46078</v>
      </c>
      <c r="AL3" s="52">
        <f t="shared" si="0"/>
        <v>46079</v>
      </c>
      <c r="AM3" s="52">
        <f t="shared" si="0"/>
        <v>46080</v>
      </c>
      <c r="AN3" s="52">
        <f t="shared" si="0"/>
        <v>46081</v>
      </c>
      <c r="AO3" s="52" t="str">
        <f t="shared" si="0"/>
        <v/>
      </c>
      <c r="AP3" s="52" t="str">
        <f t="shared" si="0"/>
        <v/>
      </c>
      <c r="AQ3" s="52" t="str">
        <f t="shared" si="0"/>
        <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日</v>
      </c>
      <c r="N4" s="153" t="str">
        <f t="shared" si="1"/>
        <v>月</v>
      </c>
      <c r="O4" s="153" t="str">
        <f t="shared" si="1"/>
        <v>火</v>
      </c>
      <c r="P4" s="153" t="str">
        <f t="shared" si="1"/>
        <v>水</v>
      </c>
      <c r="Q4" s="153" t="str">
        <f t="shared" si="1"/>
        <v>木</v>
      </c>
      <c r="R4" s="153" t="str">
        <f t="shared" si="1"/>
        <v>金</v>
      </c>
      <c r="S4" s="153" t="str">
        <f t="shared" si="1"/>
        <v>土</v>
      </c>
      <c r="T4" s="153" t="str">
        <f t="shared" si="1"/>
        <v>日</v>
      </c>
      <c r="U4" s="153" t="str">
        <f t="shared" si="1"/>
        <v>月</v>
      </c>
      <c r="V4" s="153" t="str">
        <f t="shared" si="1"/>
        <v>火</v>
      </c>
      <c r="W4" s="153" t="str">
        <f t="shared" si="1"/>
        <v>水</v>
      </c>
      <c r="X4" s="153" t="str">
        <f t="shared" si="1"/>
        <v>木</v>
      </c>
      <c r="Y4" s="153" t="str">
        <f t="shared" si="1"/>
        <v>金</v>
      </c>
      <c r="Z4" s="153" t="str">
        <f t="shared" si="1"/>
        <v>土</v>
      </c>
      <c r="AA4" s="153" t="str">
        <f t="shared" si="1"/>
        <v>日</v>
      </c>
      <c r="AB4" s="153" t="str">
        <f t="shared" si="1"/>
        <v>月</v>
      </c>
      <c r="AC4" s="153" t="str">
        <f t="shared" si="1"/>
        <v>火</v>
      </c>
      <c r="AD4" s="153" t="str">
        <f t="shared" si="1"/>
        <v>水</v>
      </c>
      <c r="AE4" s="153" t="str">
        <f t="shared" si="1"/>
        <v>木</v>
      </c>
      <c r="AF4" s="153" t="str">
        <f t="shared" si="1"/>
        <v>金</v>
      </c>
      <c r="AG4" s="153" t="str">
        <f t="shared" si="1"/>
        <v>土</v>
      </c>
      <c r="AH4" s="153" t="str">
        <f t="shared" si="1"/>
        <v>日</v>
      </c>
      <c r="AI4" s="153" t="str">
        <f t="shared" si="1"/>
        <v>月</v>
      </c>
      <c r="AJ4" s="153" t="str">
        <f t="shared" si="1"/>
        <v>火</v>
      </c>
      <c r="AK4" s="153" t="str">
        <f t="shared" si="1"/>
        <v>水</v>
      </c>
      <c r="AL4" s="153" t="str">
        <f t="shared" si="1"/>
        <v>木</v>
      </c>
      <c r="AM4" s="153" t="str">
        <f t="shared" si="1"/>
        <v>金</v>
      </c>
      <c r="AN4" s="153" t="str">
        <f t="shared" si="1"/>
        <v>土</v>
      </c>
      <c r="AO4" s="153" t="str">
        <f t="shared" si="1"/>
        <v/>
      </c>
      <c r="AP4" s="153" t="str">
        <f t="shared" si="1"/>
        <v/>
      </c>
      <c r="AQ4" s="153" t="str">
        <f t="shared" si="1"/>
        <v/>
      </c>
      <c r="AR4" s="153" t="s">
        <v>318</v>
      </c>
      <c r="AS4" s="153" t="s">
        <v>319</v>
      </c>
      <c r="AT4" s="153" t="s">
        <v>320</v>
      </c>
      <c r="AU4" s="153" t="s">
        <v>321</v>
      </c>
      <c r="AV4" s="165"/>
      <c r="AW4" s="171"/>
      <c r="AX4" s="165"/>
      <c r="AY4" s="165"/>
      <c r="AZ4" s="165"/>
      <c r="BA4" s="165"/>
      <c r="BB4" s="164"/>
      <c r="BC4" s="167"/>
      <c r="BD4" s="164"/>
      <c r="BE4" s="62">
        <f>DATE(P1,T1,1)</f>
        <v>46054</v>
      </c>
      <c r="BF4" s="55"/>
    </row>
    <row r="5" spans="1:58" s="54" customFormat="1" ht="24" customHeight="1" x14ac:dyDescent="0.45">
      <c r="A5" s="72">
        <v>1</v>
      </c>
      <c r="B5" s="57" t="s">
        <v>452</v>
      </c>
      <c r="C5" s="57" t="s">
        <v>453</v>
      </c>
      <c r="D5" s="57" t="s">
        <v>454</v>
      </c>
      <c r="E5" s="57" t="s">
        <v>455</v>
      </c>
      <c r="F5" s="57"/>
      <c r="G5" s="57"/>
      <c r="H5" s="57"/>
      <c r="I5" s="57"/>
      <c r="J5" s="57">
        <f t="shared" ref="J5" si="2">IF(COUNTA(C5:I5)=0,"",COUNTA(C5:I5))</f>
        <v>3</v>
      </c>
      <c r="K5" s="57"/>
      <c r="L5" s="57"/>
      <c r="M5" s="56" t="str">
        <f>IF(M$4="水","昼",IF(M$4="木","○",IF(M$4="金","お","")))</f>
        <v/>
      </c>
      <c r="N5" s="56" t="str">
        <f t="shared" ref="N5:AQ5" si="3">IF(N$4="水","昼",IF(N$4="木","○",IF(N$4="金","お","")))</f>
        <v/>
      </c>
      <c r="O5" s="56"/>
      <c r="P5" s="58"/>
      <c r="Q5" s="56"/>
      <c r="R5" s="56"/>
      <c r="S5" s="56"/>
      <c r="T5" s="56" t="str">
        <f t="shared" si="3"/>
        <v/>
      </c>
      <c r="U5" s="56" t="str">
        <f t="shared" si="3"/>
        <v/>
      </c>
      <c r="V5" s="56" t="str">
        <f t="shared" si="3"/>
        <v/>
      </c>
      <c r="W5" s="58" t="str">
        <f t="shared" si="3"/>
        <v>昼</v>
      </c>
      <c r="X5" s="56" t="str">
        <f t="shared" si="3"/>
        <v>○</v>
      </c>
      <c r="Y5" s="56" t="str">
        <f t="shared" si="3"/>
        <v>お</v>
      </c>
      <c r="Z5" s="56" t="str">
        <f t="shared" si="3"/>
        <v/>
      </c>
      <c r="AA5" s="56" t="str">
        <f t="shared" si="3"/>
        <v/>
      </c>
      <c r="AB5" s="56" t="str">
        <f t="shared" si="3"/>
        <v/>
      </c>
      <c r="AC5" s="56" t="str">
        <f t="shared" si="3"/>
        <v/>
      </c>
      <c r="AD5" s="58" t="str">
        <f t="shared" si="3"/>
        <v>昼</v>
      </c>
      <c r="AE5" s="56" t="str">
        <f t="shared" si="3"/>
        <v>○</v>
      </c>
      <c r="AF5" s="56" t="str">
        <f t="shared" si="3"/>
        <v>お</v>
      </c>
      <c r="AG5" s="56" t="str">
        <f t="shared" si="3"/>
        <v/>
      </c>
      <c r="AH5" s="56" t="str">
        <f t="shared" si="3"/>
        <v/>
      </c>
      <c r="AI5" s="56" t="str">
        <f t="shared" si="3"/>
        <v/>
      </c>
      <c r="AJ5" s="56" t="str">
        <f t="shared" si="3"/>
        <v/>
      </c>
      <c r="AK5" s="58" t="str">
        <f t="shared" si="3"/>
        <v>昼</v>
      </c>
      <c r="AL5" s="56" t="str">
        <f t="shared" si="3"/>
        <v>○</v>
      </c>
      <c r="AM5" s="56" t="str">
        <f t="shared" si="3"/>
        <v>お</v>
      </c>
      <c r="AN5" s="56" t="str">
        <f t="shared" si="3"/>
        <v/>
      </c>
      <c r="AO5" s="56" t="str">
        <f t="shared" si="3"/>
        <v/>
      </c>
      <c r="AP5" s="56" t="str">
        <f t="shared" si="3"/>
        <v/>
      </c>
      <c r="AQ5" s="56" t="str">
        <f t="shared" si="3"/>
        <v/>
      </c>
      <c r="AR5" s="56">
        <f t="shared" ref="AR5:AR28" si="4">IF(COUNTIF($M5:$AQ5,"昼")=0,"",COUNTIF($M5:$AQ5,"昼"))</f>
        <v>3</v>
      </c>
      <c r="AS5" s="56">
        <f t="shared" ref="AS5:AS28" si="5">IF(COUNTIF($M5:$AQ5,"○")=0,"",COUNTIF($M5:$AQ5,"○"))</f>
        <v>3</v>
      </c>
      <c r="AT5" s="56">
        <f t="shared" ref="AT5:AT28" si="6">IF(COUNTIF($M5:$AQ5,"お")=0,"",COUNTIF($M5:$AQ5,"お"))</f>
        <v>3</v>
      </c>
      <c r="AU5" s="56" t="str">
        <f t="shared" ref="AU5:AU28" si="7">IF(COUNTIF($M5:$AQ5,"夕")=0,"",COUNTIF($M5:$AQ5,"夕"))</f>
        <v/>
      </c>
      <c r="AV5" s="56">
        <f t="shared" ref="AV5" si="8">IF(COUNTA(M5:AQ5)=0,"",SUM(AR5:AU5))</f>
        <v>9</v>
      </c>
      <c r="AW5" s="56" t="s">
        <v>456</v>
      </c>
      <c r="AX5" s="56" t="s">
        <v>457</v>
      </c>
      <c r="AY5" s="59">
        <v>7058129602</v>
      </c>
      <c r="AZ5" s="56" t="s">
        <v>458</v>
      </c>
      <c r="BA5" s="59">
        <v>9037964935</v>
      </c>
      <c r="BB5" s="66" t="s">
        <v>326</v>
      </c>
      <c r="BC5" s="56">
        <v>4</v>
      </c>
      <c r="BD5" s="88">
        <v>45626</v>
      </c>
      <c r="BE5" s="61" t="s">
        <v>327</v>
      </c>
      <c r="BF5" s="55" t="s">
        <v>328</v>
      </c>
    </row>
    <row r="6" spans="1:58" s="54" customFormat="1" ht="24" customHeight="1" x14ac:dyDescent="0.45">
      <c r="A6" s="72">
        <v>2</v>
      </c>
      <c r="B6" s="57" t="s">
        <v>459</v>
      </c>
      <c r="C6" s="57"/>
      <c r="D6" s="57"/>
      <c r="E6" s="57"/>
      <c r="F6" s="57"/>
      <c r="G6" s="57"/>
      <c r="H6" s="57"/>
      <c r="I6" s="57"/>
      <c r="J6" s="57"/>
      <c r="K6" s="57"/>
      <c r="L6" s="57"/>
      <c r="M6" s="56" t="s">
        <v>319</v>
      </c>
      <c r="N6" s="76" t="s">
        <v>319</v>
      </c>
      <c r="O6" s="56" t="s">
        <v>319</v>
      </c>
      <c r="P6" s="56" t="s">
        <v>319</v>
      </c>
      <c r="Q6" s="76" t="s">
        <v>319</v>
      </c>
      <c r="R6" s="56" t="s">
        <v>319</v>
      </c>
      <c r="S6" s="56" t="s">
        <v>319</v>
      </c>
      <c r="T6" s="56" t="s">
        <v>319</v>
      </c>
      <c r="U6" s="76" t="s">
        <v>319</v>
      </c>
      <c r="V6" s="56" t="s">
        <v>319</v>
      </c>
      <c r="W6" s="56" t="s">
        <v>319</v>
      </c>
      <c r="X6" s="76" t="s">
        <v>319</v>
      </c>
      <c r="Y6" s="56" t="s">
        <v>319</v>
      </c>
      <c r="Z6" s="72"/>
      <c r="AA6" s="72"/>
      <c r="AB6" s="72"/>
      <c r="AC6" s="72"/>
      <c r="AD6" s="72"/>
      <c r="AE6" s="72"/>
      <c r="AF6" s="72"/>
      <c r="AG6" s="56"/>
      <c r="AH6" s="56"/>
      <c r="AI6" s="76"/>
      <c r="AJ6" s="56"/>
      <c r="AK6" s="56"/>
      <c r="AL6" s="76"/>
      <c r="AM6" s="56"/>
      <c r="AN6" s="56"/>
      <c r="AO6" s="56"/>
      <c r="AP6" s="56"/>
      <c r="AQ6" s="56"/>
      <c r="AR6" s="56" t="str">
        <f t="shared" si="4"/>
        <v/>
      </c>
      <c r="AS6" s="56">
        <f t="shared" si="5"/>
        <v>13</v>
      </c>
      <c r="AT6" s="56" t="str">
        <f t="shared" si="6"/>
        <v/>
      </c>
      <c r="AU6" s="56" t="str">
        <f t="shared" si="7"/>
        <v/>
      </c>
      <c r="AV6" s="56">
        <f t="shared" ref="AV6:AV28" si="9">IF(COUNTA(M6:AQ6)=0,"",SUM(AR6:AU6))</f>
        <v>13</v>
      </c>
      <c r="AW6" s="72" t="s">
        <v>156</v>
      </c>
      <c r="AX6" s="56" t="s">
        <v>460</v>
      </c>
      <c r="AY6" s="59">
        <v>8098515418</v>
      </c>
      <c r="AZ6" s="56" t="s">
        <v>461</v>
      </c>
      <c r="BA6" s="59">
        <v>8064847234</v>
      </c>
      <c r="BB6" s="66" t="s">
        <v>326</v>
      </c>
      <c r="BC6" s="56">
        <v>4</v>
      </c>
      <c r="BD6" s="88">
        <v>45596</v>
      </c>
      <c r="BE6" s="62">
        <f>DATE(P1,T1+1,1)-1</f>
        <v>46081</v>
      </c>
      <c r="BF6" s="55" t="s">
        <v>333</v>
      </c>
    </row>
    <row r="7" spans="1:58" s="54" customFormat="1" ht="24" customHeight="1" x14ac:dyDescent="0.45">
      <c r="A7" s="72">
        <v>3</v>
      </c>
      <c r="B7" s="57" t="s">
        <v>462</v>
      </c>
      <c r="C7" s="57"/>
      <c r="D7" s="57"/>
      <c r="E7" s="57"/>
      <c r="F7" s="57"/>
      <c r="G7" s="57"/>
      <c r="H7" s="57"/>
      <c r="I7" s="57"/>
      <c r="J7" s="57"/>
      <c r="K7" s="57"/>
      <c r="L7" s="57"/>
      <c r="M7" s="56" t="s">
        <v>319</v>
      </c>
      <c r="N7" s="56" t="s">
        <v>319</v>
      </c>
      <c r="O7" s="76" t="s">
        <v>319</v>
      </c>
      <c r="P7" s="56" t="s">
        <v>319</v>
      </c>
      <c r="Q7" s="56" t="s">
        <v>319</v>
      </c>
      <c r="R7" s="76" t="s">
        <v>319</v>
      </c>
      <c r="S7" s="56" t="s">
        <v>319</v>
      </c>
      <c r="T7" s="56" t="s">
        <v>319</v>
      </c>
      <c r="U7" s="56" t="s">
        <v>319</v>
      </c>
      <c r="V7" s="76" t="s">
        <v>319</v>
      </c>
      <c r="W7" s="56" t="s">
        <v>319</v>
      </c>
      <c r="X7" s="56" t="s">
        <v>319</v>
      </c>
      <c r="Y7" s="76" t="s">
        <v>319</v>
      </c>
      <c r="Z7" s="56" t="s">
        <v>319</v>
      </c>
      <c r="AA7" s="56" t="s">
        <v>319</v>
      </c>
      <c r="AB7" s="56" t="s">
        <v>319</v>
      </c>
      <c r="AC7" s="76" t="s">
        <v>319</v>
      </c>
      <c r="AD7" s="56" t="s">
        <v>319</v>
      </c>
      <c r="AE7" s="56" t="s">
        <v>319</v>
      </c>
      <c r="AF7" s="76" t="s">
        <v>319</v>
      </c>
      <c r="AG7" s="56" t="s">
        <v>319</v>
      </c>
      <c r="AH7" s="56" t="s">
        <v>319</v>
      </c>
      <c r="AI7" s="56" t="s">
        <v>319</v>
      </c>
      <c r="AJ7" s="76" t="s">
        <v>319</v>
      </c>
      <c r="AK7" s="56" t="s">
        <v>319</v>
      </c>
      <c r="AL7" s="56" t="s">
        <v>319</v>
      </c>
      <c r="AM7" s="76" t="s">
        <v>319</v>
      </c>
      <c r="AN7" s="56" t="s">
        <v>319</v>
      </c>
      <c r="AO7" s="56"/>
      <c r="AP7" s="56"/>
      <c r="AQ7" s="56"/>
      <c r="AR7" s="56" t="str">
        <f t="shared" si="4"/>
        <v/>
      </c>
      <c r="AS7" s="56">
        <f t="shared" si="5"/>
        <v>28</v>
      </c>
      <c r="AT7" s="56" t="str">
        <f t="shared" si="6"/>
        <v/>
      </c>
      <c r="AU7" s="56" t="str">
        <f t="shared" si="7"/>
        <v/>
      </c>
      <c r="AV7" s="56">
        <f t="shared" si="9"/>
        <v>28</v>
      </c>
      <c r="AW7" s="72">
        <v>221</v>
      </c>
      <c r="AX7" s="56" t="s">
        <v>463</v>
      </c>
      <c r="AY7" s="59">
        <v>9097872663</v>
      </c>
      <c r="AZ7" s="56" t="s">
        <v>346</v>
      </c>
      <c r="BA7" s="59">
        <v>8033750537</v>
      </c>
      <c r="BB7" s="66" t="s">
        <v>347</v>
      </c>
      <c r="BC7" s="56">
        <v>5</v>
      </c>
      <c r="BD7" s="88"/>
      <c r="BE7" s="61"/>
      <c r="BF7" s="55" t="s">
        <v>338</v>
      </c>
    </row>
    <row r="8" spans="1:58" s="54" customFormat="1" ht="24" customHeight="1" x14ac:dyDescent="0.45">
      <c r="A8" s="72">
        <v>4</v>
      </c>
      <c r="B8" s="57" t="s">
        <v>322</v>
      </c>
      <c r="C8" s="57"/>
      <c r="D8" s="57"/>
      <c r="E8" s="57"/>
      <c r="F8" s="57"/>
      <c r="G8" s="57"/>
      <c r="H8" s="57"/>
      <c r="I8" s="57"/>
      <c r="J8" s="57"/>
      <c r="K8" s="57"/>
      <c r="L8" s="57"/>
      <c r="M8" s="56" t="str">
        <f>IF(M$4="土","昼",IF(M$4="日","○",IF(M$4="月","夕","")))</f>
        <v>○</v>
      </c>
      <c r="N8" s="58" t="str">
        <f t="shared" ref="N8:AQ8" si="10">IF(N$4="土","昼",IF(N$4="日","○",IF(N$4="月","夕","")))</f>
        <v>夕</v>
      </c>
      <c r="O8" s="56" t="str">
        <f t="shared" si="10"/>
        <v/>
      </c>
      <c r="P8" s="56" t="str">
        <f t="shared" si="10"/>
        <v/>
      </c>
      <c r="Q8" s="56" t="str">
        <f t="shared" si="10"/>
        <v/>
      </c>
      <c r="R8" s="56" t="str">
        <f t="shared" si="10"/>
        <v/>
      </c>
      <c r="S8" s="58" t="str">
        <f t="shared" si="10"/>
        <v>昼</v>
      </c>
      <c r="T8" s="56" t="str">
        <f t="shared" si="10"/>
        <v>○</v>
      </c>
      <c r="U8" s="58" t="str">
        <f t="shared" si="10"/>
        <v>夕</v>
      </c>
      <c r="V8" s="56" t="str">
        <f t="shared" si="10"/>
        <v/>
      </c>
      <c r="W8" s="56" t="str">
        <f t="shared" si="10"/>
        <v/>
      </c>
      <c r="X8" s="56" t="str">
        <f t="shared" si="10"/>
        <v/>
      </c>
      <c r="Y8" s="56" t="str">
        <f t="shared" si="10"/>
        <v/>
      </c>
      <c r="Z8" s="58" t="str">
        <f t="shared" si="10"/>
        <v>昼</v>
      </c>
      <c r="AA8" s="56" t="str">
        <f t="shared" si="10"/>
        <v>○</v>
      </c>
      <c r="AB8" s="58" t="str">
        <f t="shared" si="10"/>
        <v>夕</v>
      </c>
      <c r="AC8" s="56" t="str">
        <f t="shared" si="10"/>
        <v/>
      </c>
      <c r="AD8" s="56" t="str">
        <f t="shared" si="10"/>
        <v/>
      </c>
      <c r="AE8" s="56" t="str">
        <f t="shared" si="10"/>
        <v/>
      </c>
      <c r="AF8" s="56" t="str">
        <f t="shared" si="10"/>
        <v/>
      </c>
      <c r="AG8" s="58" t="str">
        <f t="shared" si="10"/>
        <v>昼</v>
      </c>
      <c r="AH8" s="56" t="str">
        <f t="shared" si="10"/>
        <v>○</v>
      </c>
      <c r="AI8" s="58" t="str">
        <f t="shared" si="10"/>
        <v>夕</v>
      </c>
      <c r="AJ8" s="56" t="str">
        <f t="shared" si="10"/>
        <v/>
      </c>
      <c r="AK8" s="56" t="str">
        <f t="shared" si="10"/>
        <v/>
      </c>
      <c r="AL8" s="56" t="str">
        <f t="shared" si="10"/>
        <v/>
      </c>
      <c r="AM8" s="56" t="str">
        <f t="shared" si="10"/>
        <v/>
      </c>
      <c r="AN8" s="58" t="str">
        <f t="shared" si="10"/>
        <v>昼</v>
      </c>
      <c r="AO8" s="56" t="str">
        <f t="shared" si="10"/>
        <v/>
      </c>
      <c r="AP8" s="56" t="str">
        <f t="shared" si="10"/>
        <v/>
      </c>
      <c r="AQ8" s="56" t="str">
        <f t="shared" si="10"/>
        <v/>
      </c>
      <c r="AR8" s="56">
        <f t="shared" si="4"/>
        <v>4</v>
      </c>
      <c r="AS8" s="56">
        <f t="shared" si="5"/>
        <v>4</v>
      </c>
      <c r="AT8" s="56" t="str">
        <f t="shared" si="6"/>
        <v/>
      </c>
      <c r="AU8" s="56">
        <f t="shared" si="7"/>
        <v>4</v>
      </c>
      <c r="AV8" s="56">
        <f t="shared" si="9"/>
        <v>12</v>
      </c>
      <c r="AW8" s="56">
        <v>223</v>
      </c>
      <c r="AX8" s="59" t="s">
        <v>324</v>
      </c>
      <c r="AY8" s="59">
        <v>8025513822</v>
      </c>
      <c r="AZ8" s="59" t="s">
        <v>325</v>
      </c>
      <c r="BA8" s="59">
        <v>8027251721</v>
      </c>
      <c r="BB8" s="66" t="s">
        <v>326</v>
      </c>
      <c r="BC8" s="56">
        <v>3</v>
      </c>
      <c r="BD8" s="88"/>
      <c r="BE8" s="53"/>
      <c r="BF8" s="55"/>
    </row>
    <row r="9" spans="1:58" s="54" customFormat="1" ht="24" customHeight="1" x14ac:dyDescent="0.45">
      <c r="A9" s="72">
        <v>5</v>
      </c>
      <c r="B9" s="57" t="s">
        <v>329</v>
      </c>
      <c r="C9" s="57"/>
      <c r="D9" s="57"/>
      <c r="E9" s="57"/>
      <c r="F9" s="57"/>
      <c r="G9" s="57"/>
      <c r="H9" s="57"/>
      <c r="I9" s="57"/>
      <c r="J9" s="57"/>
      <c r="K9" s="57"/>
      <c r="L9" s="57"/>
      <c r="M9" s="58"/>
      <c r="N9" s="56" t="str">
        <f t="shared" ref="N9:AQ9" si="11">IF(N$4="土","昼",IF(N$4="日","夕",""))</f>
        <v/>
      </c>
      <c r="O9" s="56" t="str">
        <f t="shared" si="11"/>
        <v/>
      </c>
      <c r="P9" s="56" t="str">
        <f t="shared" si="11"/>
        <v/>
      </c>
      <c r="Q9" s="56" t="str">
        <f t="shared" si="11"/>
        <v/>
      </c>
      <c r="R9" s="56" t="str">
        <f t="shared" si="11"/>
        <v/>
      </c>
      <c r="S9" s="58" t="str">
        <f t="shared" si="11"/>
        <v>昼</v>
      </c>
      <c r="T9" s="58" t="str">
        <f t="shared" si="11"/>
        <v>夕</v>
      </c>
      <c r="U9" s="56" t="str">
        <f t="shared" si="11"/>
        <v/>
      </c>
      <c r="V9" s="56" t="str">
        <f t="shared" si="11"/>
        <v/>
      </c>
      <c r="W9" s="56" t="str">
        <f t="shared" si="11"/>
        <v/>
      </c>
      <c r="X9" s="56" t="str">
        <f t="shared" si="11"/>
        <v/>
      </c>
      <c r="Y9" s="56" t="str">
        <f t="shared" si="11"/>
        <v/>
      </c>
      <c r="Z9" s="58" t="str">
        <f t="shared" si="11"/>
        <v>昼</v>
      </c>
      <c r="AA9" s="58" t="str">
        <f t="shared" si="11"/>
        <v>夕</v>
      </c>
      <c r="AB9" s="56" t="str">
        <f t="shared" si="11"/>
        <v/>
      </c>
      <c r="AC9" s="56" t="str">
        <f t="shared" si="11"/>
        <v/>
      </c>
      <c r="AD9" s="56" t="str">
        <f t="shared" si="11"/>
        <v/>
      </c>
      <c r="AE9" s="56" t="str">
        <f t="shared" si="11"/>
        <v/>
      </c>
      <c r="AF9" s="56" t="str">
        <f t="shared" si="11"/>
        <v/>
      </c>
      <c r="AG9" s="58" t="str">
        <f t="shared" si="11"/>
        <v>昼</v>
      </c>
      <c r="AH9" s="58" t="str">
        <f t="shared" si="11"/>
        <v>夕</v>
      </c>
      <c r="AI9" s="56" t="str">
        <f t="shared" si="11"/>
        <v/>
      </c>
      <c r="AJ9" s="56" t="str">
        <f t="shared" si="11"/>
        <v/>
      </c>
      <c r="AK9" s="56" t="str">
        <f t="shared" si="11"/>
        <v/>
      </c>
      <c r="AL9" s="56" t="str">
        <f t="shared" si="11"/>
        <v/>
      </c>
      <c r="AM9" s="56" t="str">
        <f t="shared" si="11"/>
        <v/>
      </c>
      <c r="AN9" s="58"/>
      <c r="AO9" s="56" t="str">
        <f t="shared" si="11"/>
        <v/>
      </c>
      <c r="AP9" s="56" t="str">
        <f t="shared" si="11"/>
        <v/>
      </c>
      <c r="AQ9" s="56" t="str">
        <f t="shared" si="11"/>
        <v/>
      </c>
      <c r="AR9" s="56">
        <f t="shared" si="4"/>
        <v>3</v>
      </c>
      <c r="AS9" s="56" t="str">
        <f t="shared" si="5"/>
        <v/>
      </c>
      <c r="AT9" s="56" t="str">
        <f t="shared" si="6"/>
        <v/>
      </c>
      <c r="AU9" s="56">
        <f t="shared" si="7"/>
        <v>3</v>
      </c>
      <c r="AV9" s="56">
        <f t="shared" si="9"/>
        <v>6</v>
      </c>
      <c r="AW9" s="56" t="s">
        <v>456</v>
      </c>
      <c r="AX9" s="59" t="s">
        <v>331</v>
      </c>
      <c r="AY9" s="59">
        <v>9086202017</v>
      </c>
      <c r="AZ9" s="59" t="s">
        <v>332</v>
      </c>
      <c r="BA9" s="59">
        <v>9068675997</v>
      </c>
      <c r="BB9" s="66" t="s">
        <v>326</v>
      </c>
      <c r="BC9" s="56">
        <v>4</v>
      </c>
      <c r="BD9" s="88"/>
      <c r="BE9" s="53"/>
      <c r="BF9" s="55"/>
    </row>
    <row r="10" spans="1:58" s="54" customFormat="1" ht="24" customHeight="1" x14ac:dyDescent="0.45">
      <c r="A10" s="72">
        <v>6</v>
      </c>
      <c r="B10" s="57" t="s">
        <v>334</v>
      </c>
      <c r="C10" s="57"/>
      <c r="D10" s="57"/>
      <c r="E10" s="57"/>
      <c r="F10" s="57"/>
      <c r="G10" s="57"/>
      <c r="H10" s="57"/>
      <c r="I10" s="57"/>
      <c r="J10" s="57"/>
      <c r="K10" s="57"/>
      <c r="L10" s="57"/>
      <c r="M10" s="58" t="str">
        <f>IF(M$4="日","昼",IF(M$4="月","○",IF(M$4="火","お","")))</f>
        <v>昼</v>
      </c>
      <c r="N10" s="56" t="str">
        <f t="shared" ref="N10:AQ10" si="12">IF(N$4="日","昼",IF(N$4="月","○",IF(N$4="火","お","")))</f>
        <v>○</v>
      </c>
      <c r="O10" s="56" t="str">
        <f t="shared" si="12"/>
        <v>お</v>
      </c>
      <c r="P10" s="56" t="str">
        <f t="shared" si="12"/>
        <v/>
      </c>
      <c r="Q10" s="56" t="str">
        <f t="shared" si="12"/>
        <v/>
      </c>
      <c r="R10" s="56" t="str">
        <f t="shared" si="12"/>
        <v/>
      </c>
      <c r="S10" s="56" t="str">
        <f t="shared" si="12"/>
        <v/>
      </c>
      <c r="T10" s="58" t="str">
        <f t="shared" si="12"/>
        <v>昼</v>
      </c>
      <c r="U10" s="56" t="str">
        <f t="shared" si="12"/>
        <v>○</v>
      </c>
      <c r="V10" s="56" t="str">
        <f t="shared" si="12"/>
        <v>お</v>
      </c>
      <c r="W10" s="56" t="str">
        <f t="shared" si="12"/>
        <v/>
      </c>
      <c r="X10" s="56" t="str">
        <f t="shared" si="12"/>
        <v/>
      </c>
      <c r="Y10" s="56" t="str">
        <f t="shared" si="12"/>
        <v/>
      </c>
      <c r="Z10" s="56" t="str">
        <f t="shared" si="12"/>
        <v/>
      </c>
      <c r="AA10" s="58" t="str">
        <f t="shared" si="12"/>
        <v>昼</v>
      </c>
      <c r="AB10" s="56" t="str">
        <f t="shared" si="12"/>
        <v>○</v>
      </c>
      <c r="AC10" s="56" t="str">
        <f t="shared" si="12"/>
        <v>お</v>
      </c>
      <c r="AD10" s="56" t="str">
        <f t="shared" si="12"/>
        <v/>
      </c>
      <c r="AE10" s="56" t="str">
        <f t="shared" si="12"/>
        <v/>
      </c>
      <c r="AF10" s="56" t="str">
        <f t="shared" si="12"/>
        <v/>
      </c>
      <c r="AG10" s="56" t="str">
        <f t="shared" si="12"/>
        <v/>
      </c>
      <c r="AH10" s="58" t="str">
        <f t="shared" si="12"/>
        <v>昼</v>
      </c>
      <c r="AI10" s="56" t="str">
        <f t="shared" si="12"/>
        <v>○</v>
      </c>
      <c r="AJ10" s="56" t="str">
        <f t="shared" si="12"/>
        <v>お</v>
      </c>
      <c r="AK10" s="56" t="str">
        <f t="shared" si="12"/>
        <v/>
      </c>
      <c r="AL10" s="56" t="str">
        <f t="shared" si="12"/>
        <v/>
      </c>
      <c r="AM10" s="56" t="str">
        <f t="shared" si="12"/>
        <v/>
      </c>
      <c r="AN10" s="56" t="str">
        <f t="shared" si="12"/>
        <v/>
      </c>
      <c r="AO10" s="56" t="str">
        <f t="shared" si="12"/>
        <v/>
      </c>
      <c r="AP10" s="56" t="str">
        <f t="shared" si="12"/>
        <v/>
      </c>
      <c r="AQ10" s="56" t="str">
        <f t="shared" si="12"/>
        <v/>
      </c>
      <c r="AR10" s="56">
        <f t="shared" si="4"/>
        <v>4</v>
      </c>
      <c r="AS10" s="56">
        <f t="shared" si="5"/>
        <v>4</v>
      </c>
      <c r="AT10" s="56">
        <f t="shared" si="6"/>
        <v>4</v>
      </c>
      <c r="AU10" s="56" t="str">
        <f t="shared" si="7"/>
        <v/>
      </c>
      <c r="AV10" s="56">
        <f t="shared" si="9"/>
        <v>12</v>
      </c>
      <c r="AW10" s="56">
        <v>223</v>
      </c>
      <c r="AX10" s="56" t="s">
        <v>335</v>
      </c>
      <c r="AY10" s="59">
        <v>8039457095</v>
      </c>
      <c r="AZ10" s="56" t="s">
        <v>336</v>
      </c>
      <c r="BA10" s="59">
        <v>8039162381</v>
      </c>
      <c r="BB10" s="66" t="s">
        <v>337</v>
      </c>
      <c r="BC10" s="56">
        <v>3</v>
      </c>
      <c r="BD10" s="88"/>
      <c r="BE10" s="53"/>
      <c r="BF10" s="55"/>
    </row>
    <row r="11" spans="1:58" s="54" customFormat="1" ht="24" customHeight="1" x14ac:dyDescent="0.45">
      <c r="A11" s="72">
        <v>7</v>
      </c>
      <c r="B11" s="57" t="s">
        <v>357</v>
      </c>
      <c r="C11" s="57"/>
      <c r="D11" s="57"/>
      <c r="E11" s="57"/>
      <c r="F11" s="57"/>
      <c r="G11" s="57"/>
      <c r="H11" s="57"/>
      <c r="I11" s="57"/>
      <c r="J11" s="57"/>
      <c r="K11" s="57"/>
      <c r="L11" s="57"/>
      <c r="M11" s="56" t="str">
        <f>IF(M$4="月","昼",IF(M$4="火","○",IF(M$4="水","○",IF(M$4="木","お",""))))</f>
        <v/>
      </c>
      <c r="N11" s="56" t="str">
        <f>IF(N$4="月","昼",IF(N$4="火","○",IF(N$4="水","○",IF(N$4="木","お",""))))</f>
        <v>昼</v>
      </c>
      <c r="O11" s="56" t="str">
        <f t="shared" ref="O11:AQ11" si="13">IF(O$4="月","昼",IF(O$4="火","○",IF(O$4="水","○",IF(O$4="木","お",""))))</f>
        <v>○</v>
      </c>
      <c r="P11" s="56" t="str">
        <f t="shared" si="13"/>
        <v>○</v>
      </c>
      <c r="Q11" s="56" t="str">
        <f t="shared" si="13"/>
        <v>お</v>
      </c>
      <c r="R11" s="56" t="str">
        <f t="shared" si="13"/>
        <v/>
      </c>
      <c r="S11" s="56" t="str">
        <f t="shared" si="13"/>
        <v/>
      </c>
      <c r="T11" s="56" t="str">
        <f t="shared" si="13"/>
        <v/>
      </c>
      <c r="U11" s="56" t="str">
        <f t="shared" si="13"/>
        <v>昼</v>
      </c>
      <c r="V11" s="56" t="str">
        <f t="shared" si="13"/>
        <v>○</v>
      </c>
      <c r="W11" s="56" t="str">
        <f t="shared" si="13"/>
        <v>○</v>
      </c>
      <c r="X11" s="56" t="str">
        <f t="shared" si="13"/>
        <v>お</v>
      </c>
      <c r="Y11" s="56" t="str">
        <f t="shared" si="13"/>
        <v/>
      </c>
      <c r="Z11" s="56" t="str">
        <f t="shared" si="13"/>
        <v/>
      </c>
      <c r="AA11" s="56" t="str">
        <f t="shared" si="13"/>
        <v/>
      </c>
      <c r="AB11" s="56"/>
      <c r="AC11" s="56" t="s">
        <v>318</v>
      </c>
      <c r="AD11" s="56" t="str">
        <f t="shared" si="13"/>
        <v>○</v>
      </c>
      <c r="AE11" s="56" t="str">
        <f t="shared" si="13"/>
        <v>お</v>
      </c>
      <c r="AF11" s="56" t="str">
        <f t="shared" si="13"/>
        <v/>
      </c>
      <c r="AG11" s="56" t="str">
        <f t="shared" si="13"/>
        <v/>
      </c>
      <c r="AH11" s="56" t="str">
        <f t="shared" si="13"/>
        <v/>
      </c>
      <c r="AI11" s="56" t="str">
        <f t="shared" si="13"/>
        <v>昼</v>
      </c>
      <c r="AJ11" s="56" t="str">
        <f t="shared" si="13"/>
        <v>○</v>
      </c>
      <c r="AK11" s="56" t="str">
        <f t="shared" si="13"/>
        <v>○</v>
      </c>
      <c r="AL11" s="56" t="str">
        <f t="shared" si="13"/>
        <v>お</v>
      </c>
      <c r="AM11" s="56" t="str">
        <f t="shared" si="13"/>
        <v/>
      </c>
      <c r="AN11" s="56" t="str">
        <f t="shared" si="13"/>
        <v/>
      </c>
      <c r="AO11" s="56" t="str">
        <f t="shared" si="13"/>
        <v/>
      </c>
      <c r="AP11" s="56" t="str">
        <f t="shared" si="13"/>
        <v/>
      </c>
      <c r="AQ11" s="56" t="str">
        <f t="shared" si="13"/>
        <v/>
      </c>
      <c r="AR11" s="56">
        <f t="shared" si="4"/>
        <v>4</v>
      </c>
      <c r="AS11" s="56">
        <f t="shared" si="5"/>
        <v>7</v>
      </c>
      <c r="AT11" s="56">
        <f t="shared" si="6"/>
        <v>4</v>
      </c>
      <c r="AU11" s="56" t="str">
        <f t="shared" si="7"/>
        <v/>
      </c>
      <c r="AV11" s="56">
        <f t="shared" si="9"/>
        <v>15</v>
      </c>
      <c r="AW11" s="56" t="s">
        <v>456</v>
      </c>
      <c r="AX11" s="56" t="s">
        <v>358</v>
      </c>
      <c r="AY11" s="59">
        <v>8035335927</v>
      </c>
      <c r="AZ11" s="56" t="s">
        <v>359</v>
      </c>
      <c r="BA11" s="59">
        <v>9082902739</v>
      </c>
      <c r="BB11" s="66" t="s">
        <v>326</v>
      </c>
      <c r="BC11" s="56">
        <v>3</v>
      </c>
      <c r="BD11" s="88"/>
      <c r="BE11" s="53"/>
      <c r="BF11" s="55"/>
    </row>
    <row r="12" spans="1:58" s="54" customFormat="1" ht="24" customHeight="1" x14ac:dyDescent="0.45">
      <c r="A12" s="72">
        <v>8</v>
      </c>
      <c r="B12" s="57" t="s">
        <v>464</v>
      </c>
      <c r="C12" s="57"/>
      <c r="D12" s="57"/>
      <c r="E12" s="57"/>
      <c r="F12" s="57"/>
      <c r="G12" s="57"/>
      <c r="H12" s="57"/>
      <c r="I12" s="57"/>
      <c r="J12" s="57"/>
      <c r="K12" s="57"/>
      <c r="L12" s="57"/>
      <c r="M12" s="56" t="str">
        <f>IF(M$4="月","昼",IF(M$4="火","○",IF(M$4="水","お","")))</f>
        <v/>
      </c>
      <c r="N12" s="56" t="str">
        <f t="shared" ref="N12:AQ12" si="14">IF(N$4="月","昼",IF(N$4="火","○",IF(N$4="水","お","")))</f>
        <v>昼</v>
      </c>
      <c r="O12" s="56" t="str">
        <f t="shared" si="14"/>
        <v>○</v>
      </c>
      <c r="P12" s="56" t="str">
        <f t="shared" si="14"/>
        <v>お</v>
      </c>
      <c r="Q12" s="56" t="str">
        <f t="shared" si="14"/>
        <v/>
      </c>
      <c r="R12" s="56" t="str">
        <f t="shared" si="14"/>
        <v/>
      </c>
      <c r="S12" s="56" t="str">
        <f t="shared" si="14"/>
        <v/>
      </c>
      <c r="T12" s="56" t="str">
        <f t="shared" si="14"/>
        <v/>
      </c>
      <c r="U12" s="56" t="str">
        <f t="shared" si="14"/>
        <v>昼</v>
      </c>
      <c r="V12" s="56" t="str">
        <f t="shared" si="14"/>
        <v>○</v>
      </c>
      <c r="W12" s="56" t="str">
        <f t="shared" si="14"/>
        <v>お</v>
      </c>
      <c r="X12" s="56" t="str">
        <f t="shared" si="14"/>
        <v/>
      </c>
      <c r="Y12" s="56" t="str">
        <f t="shared" si="14"/>
        <v/>
      </c>
      <c r="Z12" s="56" t="str">
        <f t="shared" si="14"/>
        <v/>
      </c>
      <c r="AA12" s="56" t="str">
        <f t="shared" si="14"/>
        <v/>
      </c>
      <c r="AB12" s="56" t="str">
        <f t="shared" si="14"/>
        <v>昼</v>
      </c>
      <c r="AC12" s="56" t="str">
        <f t="shared" si="14"/>
        <v>○</v>
      </c>
      <c r="AD12" s="56" t="str">
        <f t="shared" si="14"/>
        <v>お</v>
      </c>
      <c r="AE12" s="56" t="str">
        <f t="shared" si="14"/>
        <v/>
      </c>
      <c r="AF12" s="56" t="str">
        <f t="shared" si="14"/>
        <v/>
      </c>
      <c r="AG12" s="56" t="str">
        <f t="shared" si="14"/>
        <v/>
      </c>
      <c r="AH12" s="56" t="str">
        <f t="shared" si="14"/>
        <v/>
      </c>
      <c r="AI12" s="56" t="str">
        <f t="shared" si="14"/>
        <v>昼</v>
      </c>
      <c r="AJ12" s="56" t="s">
        <v>319</v>
      </c>
      <c r="AK12" s="56" t="s">
        <v>319</v>
      </c>
      <c r="AL12" s="56" t="s">
        <v>319</v>
      </c>
      <c r="AM12" s="56" t="s">
        <v>319</v>
      </c>
      <c r="AN12" s="56" t="s">
        <v>319</v>
      </c>
      <c r="AO12" s="56" t="str">
        <f t="shared" si="14"/>
        <v/>
      </c>
      <c r="AP12" s="56" t="str">
        <f t="shared" si="14"/>
        <v/>
      </c>
      <c r="AQ12" s="56" t="str">
        <f t="shared" si="14"/>
        <v/>
      </c>
      <c r="AR12" s="56">
        <f t="shared" si="4"/>
        <v>4</v>
      </c>
      <c r="AS12" s="56">
        <f t="shared" si="5"/>
        <v>8</v>
      </c>
      <c r="AT12" s="56">
        <f t="shared" si="6"/>
        <v>3</v>
      </c>
      <c r="AU12" s="56" t="str">
        <f t="shared" si="7"/>
        <v/>
      </c>
      <c r="AV12" s="56">
        <f t="shared" si="9"/>
        <v>15</v>
      </c>
      <c r="AW12" s="56">
        <v>205</v>
      </c>
      <c r="AX12" s="56" t="s">
        <v>465</v>
      </c>
      <c r="AY12" s="59">
        <v>9019429557</v>
      </c>
      <c r="AZ12" s="56" t="s">
        <v>466</v>
      </c>
      <c r="BA12" s="59">
        <v>9019425653</v>
      </c>
      <c r="BB12" s="66" t="s">
        <v>467</v>
      </c>
      <c r="BC12" s="56">
        <v>2</v>
      </c>
      <c r="BD12" s="88"/>
      <c r="BE12" s="53"/>
      <c r="BF12" s="55"/>
    </row>
    <row r="13" spans="1:58" s="54" customFormat="1" ht="24" customHeight="1" x14ac:dyDescent="0.45">
      <c r="A13" s="72">
        <v>9</v>
      </c>
      <c r="B13" s="75" t="s">
        <v>339</v>
      </c>
      <c r="C13" s="57"/>
      <c r="D13" s="57"/>
      <c r="E13" s="57"/>
      <c r="F13" s="57"/>
      <c r="G13" s="57"/>
      <c r="H13" s="57"/>
      <c r="I13" s="57"/>
      <c r="J13" s="57"/>
      <c r="K13" s="57"/>
      <c r="L13" s="57"/>
      <c r="M13" s="56"/>
      <c r="N13" s="56"/>
      <c r="O13" s="56"/>
      <c r="P13" s="56"/>
      <c r="Q13" s="56"/>
      <c r="R13" s="56"/>
      <c r="S13" s="56"/>
      <c r="T13" s="56"/>
      <c r="U13" s="56"/>
      <c r="V13" s="56"/>
      <c r="W13" s="56"/>
      <c r="X13" s="56"/>
      <c r="Y13" s="56"/>
      <c r="Z13" s="56"/>
      <c r="AA13" s="56"/>
      <c r="AB13" s="56" t="s">
        <v>352</v>
      </c>
      <c r="AC13" s="56" t="s">
        <v>320</v>
      </c>
      <c r="AD13" s="56"/>
      <c r="AE13" s="56"/>
      <c r="AF13" s="56"/>
      <c r="AG13" s="56"/>
      <c r="AH13" s="56"/>
      <c r="AI13" s="56"/>
      <c r="AJ13" s="56"/>
      <c r="AK13" s="64"/>
      <c r="AL13" s="56"/>
      <c r="AM13" s="56"/>
      <c r="AN13" s="56"/>
      <c r="AO13" s="56"/>
      <c r="AP13" s="56"/>
      <c r="AQ13" s="56"/>
      <c r="AR13" s="56">
        <f t="shared" si="4"/>
        <v>1</v>
      </c>
      <c r="AS13" s="56" t="str">
        <f t="shared" si="5"/>
        <v/>
      </c>
      <c r="AT13" s="56">
        <f t="shared" si="6"/>
        <v>1</v>
      </c>
      <c r="AU13" s="56" t="str">
        <f t="shared" si="7"/>
        <v/>
      </c>
      <c r="AV13" s="56">
        <f t="shared" si="9"/>
        <v>2</v>
      </c>
      <c r="AW13" s="56">
        <v>223</v>
      </c>
      <c r="AX13" s="56" t="s">
        <v>340</v>
      </c>
      <c r="AY13" s="59">
        <v>9037963062</v>
      </c>
      <c r="AZ13" s="56" t="s">
        <v>341</v>
      </c>
      <c r="BA13" s="59">
        <v>9075873470</v>
      </c>
      <c r="BB13" s="56" t="s">
        <v>326</v>
      </c>
      <c r="BC13" s="56">
        <v>3</v>
      </c>
      <c r="BD13" s="88">
        <v>46630</v>
      </c>
      <c r="BE13" s="53"/>
      <c r="BF13" s="55"/>
    </row>
    <row r="14" spans="1:58" s="54" customFormat="1" ht="24" customHeight="1" x14ac:dyDescent="0.45">
      <c r="A14" s="72">
        <v>10</v>
      </c>
      <c r="B14" s="57" t="s">
        <v>342</v>
      </c>
      <c r="C14" s="57"/>
      <c r="D14" s="57"/>
      <c r="E14" s="57"/>
      <c r="F14" s="57"/>
      <c r="G14" s="57"/>
      <c r="H14" s="57"/>
      <c r="I14" s="57"/>
      <c r="J14" s="57" t="str">
        <f>IF(COUNTA(C14:I14)=0,"",COUNTA(C14:I14))</f>
        <v/>
      </c>
      <c r="K14" s="57"/>
      <c r="L14" s="57"/>
      <c r="M14" s="56" t="str">
        <f>IF(M$4="火","昼",IF(M$4="水","○",IF(M$4="木","夕","")))</f>
        <v/>
      </c>
      <c r="N14" s="56" t="str">
        <f t="shared" ref="N14:AQ14" si="15">IF(N$4="火","昼",IF(N$4="水","○",IF(N$4="木","夕","")))</f>
        <v/>
      </c>
      <c r="O14" s="56" t="str">
        <f t="shared" si="15"/>
        <v>昼</v>
      </c>
      <c r="P14" s="56" t="str">
        <f t="shared" si="15"/>
        <v>○</v>
      </c>
      <c r="Q14" s="58" t="str">
        <f t="shared" si="15"/>
        <v>夕</v>
      </c>
      <c r="R14" s="56" t="str">
        <f t="shared" si="15"/>
        <v/>
      </c>
      <c r="S14" s="56" t="str">
        <f t="shared" si="15"/>
        <v/>
      </c>
      <c r="T14" s="56" t="str">
        <f t="shared" si="15"/>
        <v/>
      </c>
      <c r="U14" s="56" t="str">
        <f t="shared" si="15"/>
        <v/>
      </c>
      <c r="V14" s="56" t="str">
        <f t="shared" si="15"/>
        <v>昼</v>
      </c>
      <c r="W14" s="56" t="str">
        <f t="shared" si="15"/>
        <v>○</v>
      </c>
      <c r="X14" s="58" t="s">
        <v>321</v>
      </c>
      <c r="Y14" s="56" t="str">
        <f t="shared" si="15"/>
        <v/>
      </c>
      <c r="Z14" s="56" t="str">
        <f t="shared" si="15"/>
        <v/>
      </c>
      <c r="AA14" s="58" t="s">
        <v>352</v>
      </c>
      <c r="AB14" s="56" t="s">
        <v>319</v>
      </c>
      <c r="AC14" s="56" t="s">
        <v>319</v>
      </c>
      <c r="AD14" s="58" t="s">
        <v>320</v>
      </c>
      <c r="AE14" s="56"/>
      <c r="AF14" s="56" t="str">
        <f t="shared" si="15"/>
        <v/>
      </c>
      <c r="AG14" s="56" t="str">
        <f t="shared" si="15"/>
        <v/>
      </c>
      <c r="AH14" s="56" t="str">
        <f t="shared" si="15"/>
        <v/>
      </c>
      <c r="AI14" s="56" t="str">
        <f t="shared" si="15"/>
        <v/>
      </c>
      <c r="AJ14" s="56" t="str">
        <f t="shared" si="15"/>
        <v>昼</v>
      </c>
      <c r="AK14" s="56" t="str">
        <f t="shared" si="15"/>
        <v>○</v>
      </c>
      <c r="AL14" s="58" t="str">
        <f t="shared" si="15"/>
        <v>夕</v>
      </c>
      <c r="AM14" s="56" t="str">
        <f t="shared" si="15"/>
        <v/>
      </c>
      <c r="AN14" s="56" t="str">
        <f t="shared" si="15"/>
        <v/>
      </c>
      <c r="AO14" s="56" t="str">
        <f t="shared" si="15"/>
        <v/>
      </c>
      <c r="AP14" s="56" t="str">
        <f t="shared" si="15"/>
        <v/>
      </c>
      <c r="AQ14" s="56" t="str">
        <f t="shared" si="15"/>
        <v/>
      </c>
      <c r="AR14" s="56">
        <f t="shared" si="4"/>
        <v>4</v>
      </c>
      <c r="AS14" s="56">
        <f t="shared" si="5"/>
        <v>5</v>
      </c>
      <c r="AT14" s="56">
        <f t="shared" si="6"/>
        <v>1</v>
      </c>
      <c r="AU14" s="56">
        <f t="shared" si="7"/>
        <v>3</v>
      </c>
      <c r="AV14" s="56">
        <f t="shared" si="9"/>
        <v>13</v>
      </c>
      <c r="AW14" s="56">
        <v>223</v>
      </c>
      <c r="AX14" s="56" t="s">
        <v>343</v>
      </c>
      <c r="AY14" s="59">
        <v>9019466851</v>
      </c>
      <c r="AZ14" s="56" t="s">
        <v>336</v>
      </c>
      <c r="BA14" s="59">
        <v>8039162381</v>
      </c>
      <c r="BB14" s="66" t="s">
        <v>326</v>
      </c>
      <c r="BC14" s="56">
        <v>2</v>
      </c>
      <c r="BD14" s="88">
        <v>46203</v>
      </c>
      <c r="BE14" s="53"/>
      <c r="BF14" s="55"/>
    </row>
    <row r="15" spans="1:58" s="54" customFormat="1" ht="24" customHeight="1" x14ac:dyDescent="0.45">
      <c r="A15" s="72">
        <v>11</v>
      </c>
      <c r="B15" s="57" t="s">
        <v>468</v>
      </c>
      <c r="C15" s="57"/>
      <c r="D15" s="57"/>
      <c r="E15" s="57"/>
      <c r="F15" s="57"/>
      <c r="G15" s="57"/>
      <c r="H15" s="57"/>
      <c r="I15" s="57"/>
      <c r="J15" s="57"/>
      <c r="K15" s="57"/>
      <c r="L15" s="57"/>
      <c r="M15" s="56"/>
      <c r="N15" s="56"/>
      <c r="O15" s="58" t="s">
        <v>318</v>
      </c>
      <c r="P15" s="76" t="s">
        <v>319</v>
      </c>
      <c r="Q15" s="56" t="s">
        <v>319</v>
      </c>
      <c r="R15" s="56" t="s">
        <v>319</v>
      </c>
      <c r="S15" s="58" t="s">
        <v>321</v>
      </c>
      <c r="T15" s="56"/>
      <c r="U15" s="56"/>
      <c r="V15" s="56"/>
      <c r="W15" s="56"/>
      <c r="X15" s="56"/>
      <c r="Y15" s="56"/>
      <c r="Z15" s="56"/>
      <c r="AA15" s="56"/>
      <c r="AB15" s="56"/>
      <c r="AC15" s="58" t="s">
        <v>318</v>
      </c>
      <c r="AD15" s="76" t="s">
        <v>319</v>
      </c>
      <c r="AE15" s="56" t="s">
        <v>319</v>
      </c>
      <c r="AF15" s="56" t="s">
        <v>319</v>
      </c>
      <c r="AG15" s="58" t="s">
        <v>321</v>
      </c>
      <c r="AH15" s="56"/>
      <c r="AI15" s="56"/>
      <c r="AJ15" s="56"/>
      <c r="AK15" s="56"/>
      <c r="AL15" s="56"/>
      <c r="AM15" s="56"/>
      <c r="AN15" s="56"/>
      <c r="AO15" s="56"/>
      <c r="AP15" s="56"/>
      <c r="AQ15" s="56"/>
      <c r="AR15" s="56">
        <f t="shared" si="4"/>
        <v>2</v>
      </c>
      <c r="AS15" s="56">
        <f t="shared" si="5"/>
        <v>6</v>
      </c>
      <c r="AT15" s="56" t="str">
        <f t="shared" si="6"/>
        <v/>
      </c>
      <c r="AU15" s="56">
        <f t="shared" si="7"/>
        <v>2</v>
      </c>
      <c r="AV15" s="56">
        <f t="shared" si="9"/>
        <v>10</v>
      </c>
      <c r="AW15" s="56">
        <v>201</v>
      </c>
      <c r="AX15" s="56" t="s">
        <v>469</v>
      </c>
      <c r="AY15" s="59">
        <v>9037971410</v>
      </c>
      <c r="AZ15" s="56" t="s">
        <v>346</v>
      </c>
      <c r="BA15" s="59">
        <v>8033750537</v>
      </c>
      <c r="BB15" s="59" t="s">
        <v>347</v>
      </c>
      <c r="BC15" s="56">
        <v>2</v>
      </c>
      <c r="BD15" s="66"/>
      <c r="BE15" s="53"/>
      <c r="BF15" s="55"/>
    </row>
    <row r="16" spans="1:58" s="54" customFormat="1" ht="24" customHeight="1" x14ac:dyDescent="0.45">
      <c r="A16" s="72">
        <v>12</v>
      </c>
      <c r="B16" s="57" t="s">
        <v>344</v>
      </c>
      <c r="C16" s="57"/>
      <c r="D16" s="57"/>
      <c r="E16" s="57"/>
      <c r="F16" s="57"/>
      <c r="G16" s="57"/>
      <c r="H16" s="57"/>
      <c r="I16" s="57"/>
      <c r="J16" s="57"/>
      <c r="K16" s="57"/>
      <c r="L16" s="57"/>
      <c r="M16" s="56" t="str">
        <f>IF(M$4="木","昼",IF(M$4="金","○",IF(M$4="土","夕","")))</f>
        <v/>
      </c>
      <c r="N16" s="56" t="str">
        <f t="shared" ref="N16:AQ16" si="16">IF(N$4="木","昼",IF(N$4="金","○",IF(N$4="土","夕","")))</f>
        <v/>
      </c>
      <c r="O16" s="56" t="str">
        <f t="shared" si="16"/>
        <v/>
      </c>
      <c r="P16" s="56"/>
      <c r="Q16" s="56"/>
      <c r="R16" s="56"/>
      <c r="S16" s="56"/>
      <c r="T16" s="56"/>
      <c r="U16" s="56" t="str">
        <f t="shared" si="16"/>
        <v/>
      </c>
      <c r="V16" s="56" t="str">
        <f t="shared" si="16"/>
        <v/>
      </c>
      <c r="W16" s="56" t="str">
        <f t="shared" si="16"/>
        <v/>
      </c>
      <c r="X16" s="56" t="str">
        <f t="shared" si="16"/>
        <v>昼</v>
      </c>
      <c r="Y16" s="56" t="str">
        <f t="shared" si="16"/>
        <v>○</v>
      </c>
      <c r="Z16" s="58" t="str">
        <f t="shared" si="16"/>
        <v>夕</v>
      </c>
      <c r="AA16" s="56" t="str">
        <f t="shared" si="16"/>
        <v/>
      </c>
      <c r="AB16" s="56" t="str">
        <f t="shared" si="16"/>
        <v/>
      </c>
      <c r="AC16" s="56" t="str">
        <f t="shared" si="16"/>
        <v/>
      </c>
      <c r="AD16" s="56" t="str">
        <f t="shared" si="16"/>
        <v/>
      </c>
      <c r="AE16" s="56"/>
      <c r="AF16" s="56"/>
      <c r="AG16" s="56"/>
      <c r="AH16" s="56" t="str">
        <f t="shared" si="16"/>
        <v/>
      </c>
      <c r="AI16" s="56" t="str">
        <f t="shared" si="16"/>
        <v/>
      </c>
      <c r="AJ16" s="56" t="str">
        <f t="shared" si="16"/>
        <v/>
      </c>
      <c r="AK16" s="56" t="str">
        <f t="shared" si="16"/>
        <v/>
      </c>
      <c r="AL16" s="56" t="str">
        <f t="shared" si="16"/>
        <v>昼</v>
      </c>
      <c r="AM16" s="56" t="str">
        <f t="shared" si="16"/>
        <v>○</v>
      </c>
      <c r="AN16" s="58" t="str">
        <f t="shared" si="16"/>
        <v>夕</v>
      </c>
      <c r="AO16" s="56" t="str">
        <f t="shared" si="16"/>
        <v/>
      </c>
      <c r="AP16" s="56" t="str">
        <f t="shared" si="16"/>
        <v/>
      </c>
      <c r="AQ16" s="56" t="str">
        <f t="shared" si="16"/>
        <v/>
      </c>
      <c r="AR16" s="56">
        <f t="shared" si="4"/>
        <v>2</v>
      </c>
      <c r="AS16" s="56">
        <f t="shared" si="5"/>
        <v>2</v>
      </c>
      <c r="AT16" s="56" t="str">
        <f t="shared" si="6"/>
        <v/>
      </c>
      <c r="AU16" s="56">
        <f t="shared" si="7"/>
        <v>2</v>
      </c>
      <c r="AV16" s="56">
        <f t="shared" si="9"/>
        <v>6</v>
      </c>
      <c r="AW16" s="56">
        <v>223</v>
      </c>
      <c r="AX16" s="56" t="s">
        <v>345</v>
      </c>
      <c r="AY16" s="59">
        <v>9068975316</v>
      </c>
      <c r="AZ16" s="56" t="s">
        <v>346</v>
      </c>
      <c r="BA16" s="59">
        <v>8033750538</v>
      </c>
      <c r="BB16" s="66" t="s">
        <v>347</v>
      </c>
      <c r="BC16" s="56">
        <v>2</v>
      </c>
      <c r="BD16" s="88"/>
      <c r="BE16" s="53"/>
      <c r="BF16" s="55"/>
    </row>
    <row r="17" spans="1:58" s="54" customFormat="1" ht="24" customHeight="1" x14ac:dyDescent="0.45">
      <c r="A17" s="72">
        <v>13</v>
      </c>
      <c r="B17" s="57" t="s">
        <v>348</v>
      </c>
      <c r="C17" s="57"/>
      <c r="D17" s="57"/>
      <c r="E17" s="57"/>
      <c r="F17" s="57"/>
      <c r="G17" s="57"/>
      <c r="H17" s="57"/>
      <c r="I17" s="57"/>
      <c r="J17" s="57"/>
      <c r="K17" s="57"/>
      <c r="L17" s="57"/>
      <c r="M17" s="56" t="s">
        <v>319</v>
      </c>
      <c r="N17" s="56" t="s">
        <v>319</v>
      </c>
      <c r="O17" s="76" t="s">
        <v>319</v>
      </c>
      <c r="P17" s="56" t="s">
        <v>319</v>
      </c>
      <c r="Q17" s="56" t="s">
        <v>319</v>
      </c>
      <c r="R17" s="76" t="s">
        <v>319</v>
      </c>
      <c r="S17" s="56" t="s">
        <v>319</v>
      </c>
      <c r="T17" s="56" t="s">
        <v>319</v>
      </c>
      <c r="U17" s="56" t="s">
        <v>319</v>
      </c>
      <c r="V17" s="56" t="s">
        <v>320</v>
      </c>
      <c r="W17" s="56"/>
      <c r="X17" s="56" t="s">
        <v>352</v>
      </c>
      <c r="Y17" s="76" t="s">
        <v>319</v>
      </c>
      <c r="Z17" s="72" t="s">
        <v>319</v>
      </c>
      <c r="AA17" s="56" t="s">
        <v>319</v>
      </c>
      <c r="AB17" s="56" t="s">
        <v>319</v>
      </c>
      <c r="AC17" s="76" t="s">
        <v>319</v>
      </c>
      <c r="AD17" s="121" t="s">
        <v>470</v>
      </c>
      <c r="AE17" s="56" t="s">
        <v>319</v>
      </c>
      <c r="AF17" s="76" t="s">
        <v>319</v>
      </c>
      <c r="AG17" s="72" t="s">
        <v>319</v>
      </c>
      <c r="AH17" s="56" t="s">
        <v>319</v>
      </c>
      <c r="AI17" s="56" t="s">
        <v>319</v>
      </c>
      <c r="AJ17" s="76" t="s">
        <v>319</v>
      </c>
      <c r="AK17" s="56" t="s">
        <v>319</v>
      </c>
      <c r="AL17" s="56" t="s">
        <v>319</v>
      </c>
      <c r="AM17" s="76" t="s">
        <v>319</v>
      </c>
      <c r="AN17" s="56" t="s">
        <v>319</v>
      </c>
      <c r="AO17" s="56" t="str">
        <f t="shared" ref="AO17:AQ17" si="17">IF(AO$4="月","昼",IF(AO$4="火","○",IF(AO$4="水","○",IF(AO$4="木","お",""))))</f>
        <v/>
      </c>
      <c r="AP17" s="56" t="str">
        <f t="shared" si="17"/>
        <v/>
      </c>
      <c r="AQ17" s="56" t="str">
        <f t="shared" si="17"/>
        <v/>
      </c>
      <c r="AR17" s="56">
        <f t="shared" si="4"/>
        <v>1</v>
      </c>
      <c r="AS17" s="56">
        <f t="shared" si="5"/>
        <v>24</v>
      </c>
      <c r="AT17" s="56">
        <f t="shared" si="6"/>
        <v>1</v>
      </c>
      <c r="AU17" s="56" t="str">
        <f t="shared" si="7"/>
        <v/>
      </c>
      <c r="AV17" s="56">
        <f t="shared" si="9"/>
        <v>26</v>
      </c>
      <c r="AW17" s="56">
        <v>223</v>
      </c>
      <c r="AX17" s="56" t="s">
        <v>349</v>
      </c>
      <c r="AY17" s="59">
        <v>9013413414</v>
      </c>
      <c r="AZ17" s="56" t="s">
        <v>350</v>
      </c>
      <c r="BA17" s="59">
        <v>9069641724</v>
      </c>
      <c r="BB17" s="66" t="s">
        <v>337</v>
      </c>
      <c r="BC17" s="56">
        <v>3</v>
      </c>
      <c r="BD17" s="88"/>
      <c r="BE17" s="53"/>
      <c r="BF17" s="55"/>
    </row>
    <row r="18" spans="1:58" s="54" customFormat="1" ht="24" customHeight="1" x14ac:dyDescent="0.45">
      <c r="A18" s="72">
        <v>14</v>
      </c>
      <c r="B18" s="57" t="s">
        <v>351</v>
      </c>
      <c r="C18" s="57"/>
      <c r="D18" s="57"/>
      <c r="E18" s="57"/>
      <c r="F18" s="57"/>
      <c r="G18" s="57"/>
      <c r="H18" s="57"/>
      <c r="I18" s="57"/>
      <c r="J18" s="57"/>
      <c r="K18" s="57"/>
      <c r="L18" s="57"/>
      <c r="M18" s="58" t="str">
        <f>IF(M$4="土","昼",IF(M$4="日","お",""))</f>
        <v>お</v>
      </c>
      <c r="N18" s="56" t="str">
        <f t="shared" ref="N18:AQ18" si="18">IF(N$4="土","昼",IF(N$4="日","お",""))</f>
        <v/>
      </c>
      <c r="O18" s="56" t="str">
        <f t="shared" si="18"/>
        <v/>
      </c>
      <c r="P18" s="56" t="str">
        <f t="shared" si="18"/>
        <v/>
      </c>
      <c r="Q18" s="56" t="str">
        <f t="shared" si="18"/>
        <v/>
      </c>
      <c r="R18" s="56" t="str">
        <f t="shared" si="18"/>
        <v/>
      </c>
      <c r="S18" s="58" t="str">
        <f t="shared" si="18"/>
        <v>昼</v>
      </c>
      <c r="T18" s="58" t="str">
        <f t="shared" si="18"/>
        <v>お</v>
      </c>
      <c r="U18" s="56" t="str">
        <f t="shared" si="18"/>
        <v/>
      </c>
      <c r="V18" s="56" t="str">
        <f t="shared" si="18"/>
        <v/>
      </c>
      <c r="W18" s="56" t="str">
        <f t="shared" si="18"/>
        <v/>
      </c>
      <c r="X18" s="56" t="str">
        <f t="shared" si="18"/>
        <v/>
      </c>
      <c r="Y18" s="56" t="str">
        <f t="shared" si="18"/>
        <v/>
      </c>
      <c r="Z18" s="58" t="str">
        <f t="shared" si="18"/>
        <v>昼</v>
      </c>
      <c r="AA18" s="58" t="str">
        <f t="shared" si="18"/>
        <v>お</v>
      </c>
      <c r="AB18" s="56" t="str">
        <f t="shared" si="18"/>
        <v/>
      </c>
      <c r="AC18" s="56" t="str">
        <f t="shared" si="18"/>
        <v/>
      </c>
      <c r="AD18" s="56" t="str">
        <f t="shared" si="18"/>
        <v/>
      </c>
      <c r="AE18" s="56" t="str">
        <f t="shared" si="18"/>
        <v/>
      </c>
      <c r="AF18" s="56" t="str">
        <f t="shared" si="18"/>
        <v/>
      </c>
      <c r="AG18" s="58" t="str">
        <f t="shared" si="18"/>
        <v>昼</v>
      </c>
      <c r="AH18" s="58" t="str">
        <f t="shared" si="18"/>
        <v>お</v>
      </c>
      <c r="AI18" s="56" t="str">
        <f t="shared" si="18"/>
        <v/>
      </c>
      <c r="AJ18" s="56" t="str">
        <f t="shared" si="18"/>
        <v/>
      </c>
      <c r="AK18" s="56" t="str">
        <f t="shared" si="18"/>
        <v/>
      </c>
      <c r="AL18" s="56" t="str">
        <f t="shared" si="18"/>
        <v/>
      </c>
      <c r="AM18" s="56" t="str">
        <f t="shared" si="18"/>
        <v/>
      </c>
      <c r="AN18" s="58" t="str">
        <f t="shared" si="18"/>
        <v>昼</v>
      </c>
      <c r="AO18" s="56" t="str">
        <f t="shared" si="18"/>
        <v/>
      </c>
      <c r="AP18" s="56" t="str">
        <f t="shared" si="18"/>
        <v/>
      </c>
      <c r="AQ18" s="56" t="str">
        <f t="shared" si="18"/>
        <v/>
      </c>
      <c r="AR18" s="56">
        <f t="shared" si="4"/>
        <v>4</v>
      </c>
      <c r="AS18" s="56" t="str">
        <f t="shared" si="5"/>
        <v/>
      </c>
      <c r="AT18" s="56">
        <f t="shared" si="6"/>
        <v>4</v>
      </c>
      <c r="AU18" s="56" t="str">
        <f t="shared" si="7"/>
        <v/>
      </c>
      <c r="AV18" s="56">
        <f t="shared" si="9"/>
        <v>8</v>
      </c>
      <c r="AW18" s="56">
        <v>223</v>
      </c>
      <c r="AX18" s="56" t="s">
        <v>353</v>
      </c>
      <c r="AY18" s="59">
        <v>9097873561</v>
      </c>
      <c r="AZ18" s="56" t="s">
        <v>346</v>
      </c>
      <c r="BA18" s="59">
        <v>8033750537</v>
      </c>
      <c r="BB18" s="66" t="s">
        <v>347</v>
      </c>
      <c r="BC18" s="56">
        <v>1</v>
      </c>
      <c r="BD18" s="88"/>
      <c r="BE18" s="61" t="s">
        <v>365</v>
      </c>
      <c r="BF18" s="55" t="s">
        <v>366</v>
      </c>
    </row>
    <row r="19" spans="1:58" s="54" customFormat="1" ht="24" customHeight="1" x14ac:dyDescent="0.45">
      <c r="A19" s="72">
        <v>15</v>
      </c>
      <c r="B19" s="57" t="s">
        <v>376</v>
      </c>
      <c r="C19" s="57"/>
      <c r="D19" s="57"/>
      <c r="E19" s="57"/>
      <c r="F19" s="57"/>
      <c r="G19" s="57"/>
      <c r="H19" s="57"/>
      <c r="I19" s="57"/>
      <c r="J19" s="57"/>
      <c r="K19" s="57"/>
      <c r="L19" s="57"/>
      <c r="M19" s="56"/>
      <c r="N19" s="56" t="s">
        <v>352</v>
      </c>
      <c r="O19" s="76" t="s">
        <v>319</v>
      </c>
      <c r="P19" s="72" t="s">
        <v>320</v>
      </c>
      <c r="Q19" s="56"/>
      <c r="R19" s="56"/>
      <c r="S19" s="56"/>
      <c r="T19" s="56"/>
      <c r="U19" s="56"/>
      <c r="V19" s="56"/>
      <c r="W19" s="56"/>
      <c r="X19" s="56"/>
      <c r="Y19" s="56"/>
      <c r="Z19" s="56"/>
      <c r="AA19" s="56"/>
      <c r="AB19" s="56"/>
      <c r="AC19" s="56"/>
      <c r="AD19" s="58"/>
      <c r="AE19" s="56"/>
      <c r="AF19" s="56"/>
      <c r="AG19" s="56"/>
      <c r="AH19" s="56"/>
      <c r="AI19" s="56"/>
      <c r="AJ19" s="56"/>
      <c r="AK19" s="56"/>
      <c r="AL19" s="56"/>
      <c r="AN19" s="56"/>
      <c r="AO19" s="56"/>
      <c r="AP19" s="56"/>
      <c r="AQ19" s="56"/>
      <c r="AR19" s="56">
        <f t="shared" si="4"/>
        <v>1</v>
      </c>
      <c r="AS19" s="56">
        <f t="shared" si="5"/>
        <v>1</v>
      </c>
      <c r="AT19" s="56">
        <f t="shared" si="6"/>
        <v>1</v>
      </c>
      <c r="AU19" s="56" t="str">
        <f t="shared" si="7"/>
        <v/>
      </c>
      <c r="AV19" s="56">
        <f t="shared" ref="AV19" si="19">IF(COUNTA(M19:AQ19)=0,"",SUM(AR19:AU19))</f>
        <v>3</v>
      </c>
      <c r="AW19" s="56">
        <v>201</v>
      </c>
      <c r="AX19" s="56" t="s">
        <v>377</v>
      </c>
      <c r="AY19" s="59">
        <v>9075866267</v>
      </c>
      <c r="AZ19" s="56" t="s">
        <v>336</v>
      </c>
      <c r="BA19" s="59">
        <v>8039162381</v>
      </c>
      <c r="BB19" s="66" t="s">
        <v>347</v>
      </c>
      <c r="BC19" s="56">
        <v>3</v>
      </c>
      <c r="BD19" s="88"/>
      <c r="BE19" s="61"/>
      <c r="BF19" s="55"/>
    </row>
    <row r="20" spans="1:58" s="54" customFormat="1" ht="24" customHeight="1" x14ac:dyDescent="0.45">
      <c r="A20" s="72">
        <v>16</v>
      </c>
      <c r="B20" s="57" t="s">
        <v>367</v>
      </c>
      <c r="C20" s="57"/>
      <c r="D20" s="57"/>
      <c r="E20" s="57"/>
      <c r="F20" s="57"/>
      <c r="G20" s="57"/>
      <c r="H20" s="57"/>
      <c r="I20" s="57"/>
      <c r="J20" s="57"/>
      <c r="K20" s="57"/>
      <c r="L20" s="57"/>
      <c r="M20" s="56"/>
      <c r="N20" s="56"/>
      <c r="O20" s="56"/>
      <c r="P20" s="56"/>
      <c r="Q20" s="56"/>
      <c r="R20" s="56"/>
      <c r="S20" s="56"/>
      <c r="T20" s="56"/>
      <c r="U20" s="56"/>
      <c r="V20" s="56"/>
      <c r="W20" s="56"/>
      <c r="X20" s="56"/>
      <c r="Y20" s="56"/>
      <c r="Z20" s="56"/>
      <c r="AA20" s="56"/>
      <c r="AB20" s="56"/>
      <c r="AC20" s="56"/>
      <c r="AD20" s="56" t="s">
        <v>318</v>
      </c>
      <c r="AE20" s="56" t="s">
        <v>319</v>
      </c>
      <c r="AF20" s="56" t="s">
        <v>320</v>
      </c>
      <c r="AG20" s="56"/>
      <c r="AH20" s="56"/>
      <c r="AI20" s="56"/>
      <c r="AJ20" s="56"/>
      <c r="AK20" s="56"/>
      <c r="AL20" s="56"/>
      <c r="AM20" s="56"/>
      <c r="AN20" s="56"/>
      <c r="AO20" s="56"/>
      <c r="AP20" s="56"/>
      <c r="AQ20" s="56"/>
      <c r="AR20" s="56">
        <f t="shared" si="4"/>
        <v>1</v>
      </c>
      <c r="AS20" s="56">
        <f t="shared" si="5"/>
        <v>1</v>
      </c>
      <c r="AT20" s="56">
        <f t="shared" si="6"/>
        <v>1</v>
      </c>
      <c r="AU20" s="56" t="str">
        <f t="shared" si="7"/>
        <v/>
      </c>
      <c r="AV20" s="56">
        <f t="shared" si="9"/>
        <v>3</v>
      </c>
      <c r="AW20" s="56">
        <v>223</v>
      </c>
      <c r="AX20" s="56" t="s">
        <v>368</v>
      </c>
      <c r="AY20" s="59">
        <v>98037966964</v>
      </c>
      <c r="AZ20" s="56" t="s">
        <v>369</v>
      </c>
      <c r="BA20" s="59">
        <v>8064920886</v>
      </c>
      <c r="BB20" s="66" t="s">
        <v>347</v>
      </c>
      <c r="BC20" s="56">
        <v>2</v>
      </c>
      <c r="BD20" s="88"/>
      <c r="BE20" s="61"/>
      <c r="BF20" s="55"/>
    </row>
    <row r="21" spans="1:58" s="54" customFormat="1" ht="24" customHeight="1" x14ac:dyDescent="0.45">
      <c r="A21" s="72">
        <v>17</v>
      </c>
      <c r="B21" s="57" t="s">
        <v>471</v>
      </c>
      <c r="C21" s="57"/>
      <c r="D21" s="57"/>
      <c r="E21" s="57"/>
      <c r="F21" s="57"/>
      <c r="G21" s="57"/>
      <c r="H21" s="57"/>
      <c r="I21" s="57"/>
      <c r="J21" s="57"/>
      <c r="K21" s="57"/>
      <c r="L21" s="57"/>
      <c r="M21" s="56" t="str">
        <f>IF(M$4="木","昼",IF(M$4="金","お",""))</f>
        <v/>
      </c>
      <c r="N21" s="56" t="str">
        <f t="shared" ref="N21:AQ21" si="20">IF(N$4="木","昼",IF(N$4="金","お",""))</f>
        <v/>
      </c>
      <c r="O21" s="56" t="str">
        <f t="shared" si="20"/>
        <v/>
      </c>
      <c r="P21" s="56" t="str">
        <f t="shared" si="20"/>
        <v/>
      </c>
      <c r="Q21" s="56"/>
      <c r="R21" s="56"/>
      <c r="S21" s="56"/>
      <c r="T21" s="56" t="str">
        <f t="shared" si="20"/>
        <v/>
      </c>
      <c r="U21" s="56" t="str">
        <f t="shared" si="20"/>
        <v/>
      </c>
      <c r="V21" s="56" t="str">
        <f t="shared" si="20"/>
        <v/>
      </c>
      <c r="W21" s="56" t="str">
        <f t="shared" si="20"/>
        <v/>
      </c>
      <c r="X21" s="56" t="str">
        <f t="shared" si="20"/>
        <v>昼</v>
      </c>
      <c r="Y21" s="57" t="str">
        <f t="shared" si="20"/>
        <v>お</v>
      </c>
      <c r="Z21" s="56" t="str">
        <f t="shared" si="20"/>
        <v/>
      </c>
      <c r="AA21" s="56" t="str">
        <f t="shared" si="20"/>
        <v/>
      </c>
      <c r="AB21" s="56" t="str">
        <f t="shared" si="20"/>
        <v/>
      </c>
      <c r="AC21" s="56" t="str">
        <f t="shared" si="20"/>
        <v/>
      </c>
      <c r="AD21" s="56" t="str">
        <f t="shared" si="20"/>
        <v/>
      </c>
      <c r="AE21" s="56"/>
      <c r="AF21" s="56"/>
      <c r="AG21" s="56" t="str">
        <f t="shared" si="20"/>
        <v/>
      </c>
      <c r="AH21" s="56" t="str">
        <f t="shared" si="20"/>
        <v/>
      </c>
      <c r="AI21" s="56" t="str">
        <f t="shared" si="20"/>
        <v/>
      </c>
      <c r="AJ21" s="56" t="str">
        <f t="shared" si="20"/>
        <v/>
      </c>
      <c r="AK21" s="56" t="str">
        <f t="shared" si="20"/>
        <v/>
      </c>
      <c r="AL21" s="56" t="str">
        <f t="shared" si="20"/>
        <v>昼</v>
      </c>
      <c r="AM21" s="56" t="str">
        <f t="shared" si="20"/>
        <v>お</v>
      </c>
      <c r="AN21" s="56" t="str">
        <f t="shared" si="20"/>
        <v/>
      </c>
      <c r="AO21" s="56" t="str">
        <f t="shared" si="20"/>
        <v/>
      </c>
      <c r="AP21" s="56" t="str">
        <f t="shared" si="20"/>
        <v/>
      </c>
      <c r="AQ21" s="56" t="str">
        <f t="shared" si="20"/>
        <v/>
      </c>
      <c r="AR21" s="56">
        <f t="shared" si="4"/>
        <v>2</v>
      </c>
      <c r="AS21" s="56" t="str">
        <f t="shared" si="5"/>
        <v/>
      </c>
      <c r="AT21" s="56">
        <f t="shared" si="6"/>
        <v>2</v>
      </c>
      <c r="AU21" s="56" t="str">
        <f t="shared" si="7"/>
        <v/>
      </c>
      <c r="AV21" s="56">
        <f t="shared" si="9"/>
        <v>4</v>
      </c>
      <c r="AW21" s="56">
        <v>223</v>
      </c>
      <c r="AX21" s="56" t="s">
        <v>472</v>
      </c>
      <c r="AY21" s="59">
        <v>8064949861</v>
      </c>
      <c r="AZ21" s="56" t="s">
        <v>380</v>
      </c>
      <c r="BA21" s="59">
        <v>8033750538</v>
      </c>
      <c r="BB21" s="66" t="s">
        <v>326</v>
      </c>
      <c r="BC21" s="56">
        <v>4</v>
      </c>
      <c r="BD21" s="88"/>
      <c r="BE21" s="61"/>
      <c r="BF21" s="55"/>
    </row>
    <row r="22" spans="1:58" s="54" customFormat="1" ht="24" customHeight="1" x14ac:dyDescent="0.45">
      <c r="A22" s="72">
        <v>18</v>
      </c>
      <c r="B22" s="57" t="s">
        <v>473</v>
      </c>
      <c r="C22" s="57"/>
      <c r="D22" s="57"/>
      <c r="E22" s="57"/>
      <c r="F22" s="57"/>
      <c r="G22" s="57"/>
      <c r="H22" s="57"/>
      <c r="I22" s="57"/>
      <c r="J22" s="57"/>
      <c r="K22" s="57"/>
      <c r="L22" s="57"/>
      <c r="M22" s="56"/>
      <c r="N22" s="56"/>
      <c r="O22" s="56"/>
      <c r="P22" s="56"/>
      <c r="Q22" s="56"/>
      <c r="R22" s="56"/>
      <c r="S22" s="56"/>
      <c r="T22" s="56"/>
      <c r="U22" s="56"/>
      <c r="V22" s="56"/>
      <c r="W22" s="56"/>
      <c r="X22" s="56"/>
      <c r="Y22" s="56"/>
      <c r="Z22" s="56"/>
      <c r="AA22" s="58"/>
      <c r="AB22" s="72"/>
      <c r="AC22" s="56"/>
      <c r="AD22" s="56"/>
      <c r="AE22" s="56"/>
      <c r="AF22" s="56" t="s">
        <v>318</v>
      </c>
      <c r="AG22" s="56" t="s">
        <v>319</v>
      </c>
      <c r="AH22" s="56" t="s">
        <v>319</v>
      </c>
      <c r="AI22" s="57" t="s">
        <v>320</v>
      </c>
      <c r="AJ22" s="56"/>
      <c r="AK22" s="56"/>
      <c r="AL22" s="56"/>
      <c r="AM22" s="56"/>
      <c r="AN22" s="56"/>
      <c r="AO22" s="56"/>
      <c r="AP22" s="56"/>
      <c r="AQ22" s="56"/>
      <c r="AR22" s="56">
        <f t="shared" si="4"/>
        <v>1</v>
      </c>
      <c r="AS22" s="56">
        <f t="shared" si="5"/>
        <v>2</v>
      </c>
      <c r="AT22" s="56">
        <f t="shared" si="6"/>
        <v>1</v>
      </c>
      <c r="AU22" s="56" t="str">
        <f t="shared" si="7"/>
        <v/>
      </c>
      <c r="AV22" s="56">
        <f t="shared" si="9"/>
        <v>4</v>
      </c>
      <c r="AW22" s="56">
        <v>223</v>
      </c>
      <c r="AX22" s="56" t="s">
        <v>474</v>
      </c>
      <c r="AY22" s="59">
        <v>9068577835</v>
      </c>
      <c r="AZ22" s="56" t="s">
        <v>475</v>
      </c>
      <c r="BA22" s="59">
        <v>9016182846</v>
      </c>
      <c r="BB22" s="66" t="s">
        <v>326</v>
      </c>
      <c r="BC22" s="56">
        <v>2</v>
      </c>
      <c r="BD22" s="88"/>
      <c r="BE22" s="61"/>
      <c r="BF22" s="55"/>
    </row>
    <row r="23" spans="1:58" s="54" customFormat="1" ht="24" customHeight="1" x14ac:dyDescent="0.45">
      <c r="A23" s="72">
        <v>19</v>
      </c>
      <c r="B23" s="57" t="s">
        <v>476</v>
      </c>
      <c r="C23" s="57"/>
      <c r="D23" s="57"/>
      <c r="E23" s="57"/>
      <c r="F23" s="57"/>
      <c r="G23" s="57"/>
      <c r="H23" s="57"/>
      <c r="I23" s="57"/>
      <c r="J23" s="57"/>
      <c r="K23" s="57"/>
      <c r="L23" s="57"/>
      <c r="M23" s="56"/>
      <c r="N23" s="56"/>
      <c r="O23" s="56"/>
      <c r="P23" s="56"/>
      <c r="Q23" s="56"/>
      <c r="R23" s="56"/>
      <c r="S23" s="56"/>
      <c r="T23" s="56"/>
      <c r="U23" s="56"/>
      <c r="V23" s="56"/>
      <c r="W23" s="56"/>
      <c r="X23" s="56"/>
      <c r="Y23" s="56"/>
      <c r="Z23" s="56"/>
      <c r="AA23" s="56"/>
      <c r="AB23" s="56"/>
      <c r="AC23" s="56"/>
      <c r="AD23" s="56"/>
      <c r="AE23" s="58"/>
      <c r="AF23" s="56"/>
      <c r="AG23" s="58" t="s">
        <v>318</v>
      </c>
      <c r="AH23" s="56" t="s">
        <v>319</v>
      </c>
      <c r="AI23" s="56" t="s">
        <v>320</v>
      </c>
      <c r="AJ23" s="56"/>
      <c r="AK23" s="56"/>
      <c r="AL23" s="56"/>
      <c r="AM23" s="56"/>
      <c r="AN23" s="56"/>
      <c r="AO23" s="56"/>
      <c r="AP23" s="56"/>
      <c r="AQ23" s="56"/>
      <c r="AR23" s="56">
        <f t="shared" si="4"/>
        <v>1</v>
      </c>
      <c r="AS23" s="56">
        <f t="shared" si="5"/>
        <v>1</v>
      </c>
      <c r="AT23" s="56">
        <f t="shared" si="6"/>
        <v>1</v>
      </c>
      <c r="AU23" s="56" t="str">
        <f t="shared" si="7"/>
        <v/>
      </c>
      <c r="AV23" s="56">
        <f t="shared" si="9"/>
        <v>3</v>
      </c>
      <c r="AW23" s="56">
        <v>223</v>
      </c>
      <c r="AX23" s="56" t="s">
        <v>477</v>
      </c>
      <c r="AY23" s="59">
        <v>9010898537</v>
      </c>
      <c r="AZ23" s="56" t="s">
        <v>478</v>
      </c>
      <c r="BA23" s="59">
        <v>8030173230</v>
      </c>
      <c r="BB23" s="66" t="s">
        <v>337</v>
      </c>
      <c r="BC23" s="56">
        <v>3</v>
      </c>
      <c r="BD23" s="88"/>
      <c r="BE23" s="61"/>
      <c r="BF23" s="55"/>
    </row>
    <row r="24" spans="1:58" s="54" customFormat="1" ht="24" customHeight="1" x14ac:dyDescent="0.45">
      <c r="A24" s="72">
        <v>20</v>
      </c>
      <c r="B24" s="57" t="s">
        <v>479</v>
      </c>
      <c r="C24" s="57"/>
      <c r="D24" s="57"/>
      <c r="E24" s="57"/>
      <c r="F24" s="57"/>
      <c r="G24" s="57"/>
      <c r="H24" s="57"/>
      <c r="I24" s="57"/>
      <c r="J24" s="57"/>
      <c r="K24" s="57"/>
      <c r="L24" s="57"/>
      <c r="M24" s="56"/>
      <c r="N24" s="56"/>
      <c r="O24" s="56"/>
      <c r="P24" s="56"/>
      <c r="Q24" s="56"/>
      <c r="R24" s="56"/>
      <c r="S24" s="56"/>
      <c r="T24" s="56"/>
      <c r="U24" s="56"/>
      <c r="V24" s="56"/>
      <c r="W24" s="56"/>
      <c r="X24" s="56"/>
      <c r="Y24" s="56"/>
      <c r="AA24" s="56"/>
      <c r="AB24" s="56"/>
      <c r="AC24" s="56"/>
      <c r="AD24" s="56"/>
      <c r="AE24" s="58"/>
      <c r="AF24" s="56"/>
      <c r="AG24" s="56"/>
      <c r="AH24" s="56"/>
      <c r="AI24" s="56"/>
      <c r="AJ24" s="56"/>
      <c r="AK24" s="56"/>
      <c r="AL24" s="56"/>
      <c r="AM24" s="56"/>
      <c r="AN24" s="56"/>
      <c r="AO24" s="56"/>
      <c r="AP24" s="56"/>
      <c r="AQ24" s="56"/>
      <c r="AR24" s="56" t="str">
        <f t="shared" si="4"/>
        <v/>
      </c>
      <c r="AS24" s="56" t="str">
        <f t="shared" si="5"/>
        <v/>
      </c>
      <c r="AT24" s="56" t="str">
        <f t="shared" si="6"/>
        <v/>
      </c>
      <c r="AU24" s="56" t="str">
        <f t="shared" si="7"/>
        <v/>
      </c>
      <c r="AV24" s="56" t="str">
        <f t="shared" si="9"/>
        <v/>
      </c>
      <c r="AW24" s="56" t="s">
        <v>456</v>
      </c>
      <c r="AX24" s="56" t="s">
        <v>480</v>
      </c>
      <c r="AY24" s="59">
        <v>9023906623</v>
      </c>
      <c r="AZ24" s="56" t="s">
        <v>341</v>
      </c>
      <c r="BA24" s="59">
        <v>9075873470</v>
      </c>
      <c r="BB24" s="66"/>
      <c r="BC24" s="56">
        <v>4</v>
      </c>
      <c r="BD24" s="88"/>
      <c r="BE24" s="61"/>
      <c r="BF24" s="55"/>
    </row>
    <row r="25" spans="1:58" s="54" customFormat="1" ht="24" customHeight="1" x14ac:dyDescent="0.45">
      <c r="A25" s="72">
        <v>21</v>
      </c>
      <c r="B25" s="57" t="s">
        <v>481</v>
      </c>
      <c r="C25" s="57"/>
      <c r="D25" s="57"/>
      <c r="E25" s="57"/>
      <c r="F25" s="57"/>
      <c r="G25" s="57"/>
      <c r="H25" s="57"/>
      <c r="I25" s="57"/>
      <c r="J25" s="57"/>
      <c r="K25" s="57"/>
      <c r="L25" s="57"/>
      <c r="M25" s="56"/>
      <c r="N25" s="56"/>
      <c r="O25" s="56"/>
      <c r="P25" s="56"/>
      <c r="Q25" s="56"/>
      <c r="R25" s="56"/>
      <c r="S25" s="56"/>
      <c r="T25" s="56"/>
      <c r="U25" s="56" t="s">
        <v>318</v>
      </c>
      <c r="V25" s="56" t="s">
        <v>319</v>
      </c>
      <c r="W25" s="76" t="s">
        <v>319</v>
      </c>
      <c r="X25" s="56" t="s">
        <v>482</v>
      </c>
      <c r="Y25" s="56"/>
      <c r="Z25" s="56"/>
      <c r="AA25" s="58"/>
      <c r="AB25" s="56"/>
      <c r="AC25" s="56"/>
      <c r="AD25" s="56"/>
      <c r="AE25" s="56"/>
      <c r="AF25" s="56"/>
      <c r="AG25" s="56"/>
      <c r="AH25" s="56"/>
      <c r="AI25" s="56"/>
      <c r="AJ25" s="56"/>
      <c r="AK25" s="56"/>
      <c r="AL25" s="56"/>
      <c r="AM25" s="56"/>
      <c r="AN25" s="56"/>
      <c r="AO25" s="56"/>
      <c r="AP25" s="56"/>
      <c r="AQ25" s="56"/>
      <c r="AR25" s="56">
        <f t="shared" si="4"/>
        <v>1</v>
      </c>
      <c r="AS25" s="56">
        <f t="shared" si="5"/>
        <v>2</v>
      </c>
      <c r="AT25" s="56" t="str">
        <f t="shared" si="6"/>
        <v/>
      </c>
      <c r="AU25" s="56" t="str">
        <f t="shared" si="7"/>
        <v/>
      </c>
      <c r="AV25" s="56">
        <f t="shared" si="9"/>
        <v>3</v>
      </c>
      <c r="AW25" s="56">
        <v>223</v>
      </c>
      <c r="AX25" s="59" t="s">
        <v>483</v>
      </c>
      <c r="AY25" s="59">
        <v>9043434216</v>
      </c>
      <c r="AZ25" s="56" t="s">
        <v>484</v>
      </c>
      <c r="BA25" s="88" t="s">
        <v>485</v>
      </c>
      <c r="BB25" s="122"/>
      <c r="BC25" s="56" t="s">
        <v>486</v>
      </c>
      <c r="BD25" s="88"/>
      <c r="BE25" s="61"/>
      <c r="BF25" s="55"/>
    </row>
    <row r="26" spans="1:58" s="54" customFormat="1" ht="24" customHeight="1" x14ac:dyDescent="0.45">
      <c r="A26" s="72">
        <v>22</v>
      </c>
      <c r="B26" s="57" t="s">
        <v>487</v>
      </c>
      <c r="C26" s="57"/>
      <c r="D26" s="57"/>
      <c r="E26" s="57"/>
      <c r="F26" s="57"/>
      <c r="G26" s="57"/>
      <c r="H26" s="57"/>
      <c r="I26" s="57"/>
      <c r="J26" s="57"/>
      <c r="K26" s="57"/>
      <c r="L26" s="57"/>
      <c r="M26" s="56"/>
      <c r="N26" s="56"/>
      <c r="O26" s="56" t="str">
        <f t="shared" ref="O26:AQ26" si="21">IF(O$4="日","昼",IF(O$4="月","お",""))</f>
        <v/>
      </c>
      <c r="P26" s="56" t="str">
        <f t="shared" si="21"/>
        <v/>
      </c>
      <c r="Q26" s="56" t="str">
        <f t="shared" si="21"/>
        <v/>
      </c>
      <c r="R26" s="56" t="str">
        <f t="shared" si="21"/>
        <v/>
      </c>
      <c r="S26" s="56" t="str">
        <f t="shared" si="21"/>
        <v/>
      </c>
      <c r="T26" s="58" t="str">
        <f t="shared" si="21"/>
        <v>昼</v>
      </c>
      <c r="U26" s="56" t="str">
        <f t="shared" si="21"/>
        <v>お</v>
      </c>
      <c r="V26" s="56" t="str">
        <f t="shared" si="21"/>
        <v/>
      </c>
      <c r="W26" s="56" t="str">
        <f t="shared" si="21"/>
        <v/>
      </c>
      <c r="X26" s="56" t="str">
        <f t="shared" si="21"/>
        <v/>
      </c>
      <c r="Y26" s="56" t="str">
        <f t="shared" si="21"/>
        <v/>
      </c>
      <c r="Z26" s="56"/>
      <c r="AA26" s="58"/>
      <c r="AB26" s="56"/>
      <c r="AC26" s="56"/>
      <c r="AD26" s="56"/>
      <c r="AE26" s="56" t="str">
        <f t="shared" si="21"/>
        <v/>
      </c>
      <c r="AF26" s="56" t="str">
        <f t="shared" si="21"/>
        <v/>
      </c>
      <c r="AG26" s="56" t="str">
        <f t="shared" si="21"/>
        <v/>
      </c>
      <c r="AH26" s="58" t="str">
        <f t="shared" si="21"/>
        <v>昼</v>
      </c>
      <c r="AI26" s="56" t="str">
        <f t="shared" si="21"/>
        <v>お</v>
      </c>
      <c r="AJ26" s="56" t="str">
        <f t="shared" si="21"/>
        <v/>
      </c>
      <c r="AK26" s="56" t="str">
        <f t="shared" si="21"/>
        <v/>
      </c>
      <c r="AL26" s="56" t="str">
        <f t="shared" si="21"/>
        <v/>
      </c>
      <c r="AM26" s="56" t="str">
        <f t="shared" si="21"/>
        <v/>
      </c>
      <c r="AN26" s="56" t="str">
        <f t="shared" si="21"/>
        <v/>
      </c>
      <c r="AO26" s="56" t="str">
        <f t="shared" si="21"/>
        <v/>
      </c>
      <c r="AP26" s="56" t="str">
        <f t="shared" si="21"/>
        <v/>
      </c>
      <c r="AQ26" s="56" t="str">
        <f t="shared" si="21"/>
        <v/>
      </c>
      <c r="AR26" s="56">
        <f t="shared" si="4"/>
        <v>2</v>
      </c>
      <c r="AS26" s="56" t="str">
        <f t="shared" si="5"/>
        <v/>
      </c>
      <c r="AT26" s="56">
        <f t="shared" si="6"/>
        <v>2</v>
      </c>
      <c r="AU26" s="56" t="str">
        <f t="shared" si="7"/>
        <v/>
      </c>
      <c r="AV26" s="56">
        <f t="shared" si="9"/>
        <v>4</v>
      </c>
      <c r="AW26" s="56">
        <v>223</v>
      </c>
      <c r="AX26" s="59" t="s">
        <v>364</v>
      </c>
      <c r="AY26" s="59">
        <v>9082937045</v>
      </c>
      <c r="AZ26" s="56" t="s">
        <v>336</v>
      </c>
      <c r="BA26" s="59">
        <v>8039162381</v>
      </c>
      <c r="BB26" s="118" t="s">
        <v>326</v>
      </c>
      <c r="BC26" s="56">
        <v>3</v>
      </c>
      <c r="BD26" s="88"/>
      <c r="BE26" s="61"/>
      <c r="BF26" s="55"/>
    </row>
    <row r="27" spans="1:58" s="54" customFormat="1" ht="24" customHeight="1" x14ac:dyDescent="0.45">
      <c r="A27" s="72">
        <v>23</v>
      </c>
      <c r="B27" s="57" t="s">
        <v>488</v>
      </c>
      <c r="C27" s="57"/>
      <c r="D27" s="57"/>
      <c r="E27" s="57"/>
      <c r="F27" s="57"/>
      <c r="G27" s="57"/>
      <c r="H27" s="57"/>
      <c r="I27" s="57"/>
      <c r="J27" s="57"/>
      <c r="K27" s="57"/>
      <c r="L27" s="57"/>
      <c r="M27" s="56"/>
      <c r="N27" s="56"/>
      <c r="O27" s="56"/>
      <c r="P27" s="56"/>
      <c r="Q27" s="56"/>
      <c r="R27" s="56"/>
      <c r="S27" s="56"/>
      <c r="T27" s="56"/>
      <c r="U27" s="56"/>
      <c r="V27" s="56"/>
      <c r="W27" s="56"/>
      <c r="X27" s="56"/>
      <c r="Y27" s="56"/>
      <c r="Z27" s="56"/>
      <c r="AA27" s="56"/>
      <c r="AB27" s="56"/>
      <c r="AC27" s="56"/>
      <c r="AD27" s="56"/>
      <c r="AE27" s="56" t="s">
        <v>318</v>
      </c>
      <c r="AF27" s="56" t="s">
        <v>320</v>
      </c>
      <c r="AG27" s="56"/>
      <c r="AH27" s="56"/>
      <c r="AI27" s="56"/>
      <c r="AJ27" s="56"/>
      <c r="AK27" s="56"/>
      <c r="AL27" s="56"/>
      <c r="AM27" s="56"/>
      <c r="AN27" s="56"/>
      <c r="AO27" s="56"/>
      <c r="AP27" s="56"/>
      <c r="AQ27" s="56"/>
      <c r="AR27" s="56">
        <f t="shared" si="4"/>
        <v>1</v>
      </c>
      <c r="AS27" s="56" t="str">
        <f t="shared" si="5"/>
        <v/>
      </c>
      <c r="AT27" s="56">
        <f t="shared" si="6"/>
        <v>1</v>
      </c>
      <c r="AU27" s="56" t="str">
        <f t="shared" si="7"/>
        <v/>
      </c>
      <c r="AV27" s="56">
        <f t="shared" si="9"/>
        <v>2</v>
      </c>
      <c r="AW27" s="56"/>
      <c r="AX27" s="59"/>
      <c r="AY27" s="66"/>
      <c r="AZ27" s="56"/>
      <c r="BA27" s="88"/>
      <c r="BB27" s="122"/>
      <c r="BC27" s="56"/>
      <c r="BD27" s="88"/>
      <c r="BE27" s="61"/>
      <c r="BF27" s="55"/>
    </row>
    <row r="28" spans="1:58" s="54" customFormat="1" ht="24" customHeight="1" x14ac:dyDescent="0.45">
      <c r="A28" s="72">
        <v>24</v>
      </c>
      <c r="B28" s="57"/>
      <c r="C28" s="57"/>
      <c r="D28" s="57"/>
      <c r="E28" s="57"/>
      <c r="F28" s="57"/>
      <c r="G28" s="57"/>
      <c r="H28" s="57"/>
      <c r="I28" s="57"/>
      <c r="J28" s="57"/>
      <c r="K28" s="57"/>
      <c r="L28" s="57"/>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t="str">
        <f t="shared" si="4"/>
        <v/>
      </c>
      <c r="AS28" s="56" t="str">
        <f t="shared" si="5"/>
        <v/>
      </c>
      <c r="AT28" s="56" t="str">
        <f t="shared" si="6"/>
        <v/>
      </c>
      <c r="AU28" s="56" t="str">
        <f t="shared" si="7"/>
        <v/>
      </c>
      <c r="AV28" s="56" t="str">
        <f t="shared" si="9"/>
        <v/>
      </c>
      <c r="AW28" s="56"/>
      <c r="AX28" s="56"/>
      <c r="AY28" s="59"/>
      <c r="AZ28" s="56"/>
      <c r="BA28" s="59"/>
      <c r="BB28" s="66"/>
      <c r="BC28" s="56"/>
      <c r="BD28" s="64"/>
    </row>
    <row r="29" spans="1:58" s="54" customFormat="1" ht="24" customHeight="1" x14ac:dyDescent="0.45">
      <c r="A29" s="72"/>
      <c r="B29" s="57" t="s">
        <v>387</v>
      </c>
      <c r="C29" s="57"/>
      <c r="D29" s="57"/>
      <c r="E29" s="57"/>
      <c r="F29" s="57"/>
      <c r="G29" s="57"/>
      <c r="H29" s="57"/>
      <c r="I29" s="57"/>
      <c r="J29" s="57"/>
      <c r="K29" s="57"/>
      <c r="L29" s="57"/>
      <c r="M29" s="56">
        <f t="shared" ref="M29:AQ29" si="22">COUNTIF(M5:M28,"朝")+COUNTIF(M5:M28,"昼")+COUNTIF(M5:M28,"夕")+COUNTIF(M5:M28,"お")+COUNTIF(M5:M28,"○")</f>
        <v>6</v>
      </c>
      <c r="N29" s="56">
        <f t="shared" si="22"/>
        <v>8</v>
      </c>
      <c r="O29" s="56">
        <f t="shared" si="22"/>
        <v>9</v>
      </c>
      <c r="P29" s="56">
        <f t="shared" si="22"/>
        <v>8</v>
      </c>
      <c r="Q29" s="56">
        <f t="shared" si="22"/>
        <v>6</v>
      </c>
      <c r="R29" s="56">
        <f t="shared" si="22"/>
        <v>4</v>
      </c>
      <c r="S29" s="56">
        <f t="shared" si="22"/>
        <v>7</v>
      </c>
      <c r="T29" s="56">
        <f t="shared" si="22"/>
        <v>8</v>
      </c>
      <c r="U29" s="56">
        <f t="shared" si="22"/>
        <v>9</v>
      </c>
      <c r="V29" s="56">
        <f t="shared" si="22"/>
        <v>8</v>
      </c>
      <c r="W29" s="56">
        <f t="shared" si="22"/>
        <v>7</v>
      </c>
      <c r="X29" s="56">
        <f t="shared" si="22"/>
        <v>9</v>
      </c>
      <c r="Y29" s="56">
        <f t="shared" si="22"/>
        <v>6</v>
      </c>
      <c r="Z29" s="56">
        <f t="shared" si="22"/>
        <v>6</v>
      </c>
      <c r="AA29" s="56">
        <f t="shared" si="22"/>
        <v>7</v>
      </c>
      <c r="AB29" s="56">
        <f t="shared" si="22"/>
        <v>7</v>
      </c>
      <c r="AC29" s="56">
        <f t="shared" si="22"/>
        <v>8</v>
      </c>
      <c r="AD29" s="56">
        <f t="shared" si="22"/>
        <v>7</v>
      </c>
      <c r="AE29" s="56">
        <f t="shared" si="22"/>
        <v>7</v>
      </c>
      <c r="AF29" s="56">
        <f t="shared" si="22"/>
        <v>7</v>
      </c>
      <c r="AG29" s="56">
        <f t="shared" si="22"/>
        <v>8</v>
      </c>
      <c r="AH29" s="56">
        <f t="shared" si="22"/>
        <v>9</v>
      </c>
      <c r="AI29" s="56">
        <f t="shared" si="22"/>
        <v>9</v>
      </c>
      <c r="AJ29" s="56">
        <f t="shared" si="22"/>
        <v>6</v>
      </c>
      <c r="AK29" s="56">
        <f t="shared" si="22"/>
        <v>6</v>
      </c>
      <c r="AL29" s="56">
        <f t="shared" si="22"/>
        <v>8</v>
      </c>
      <c r="AM29" s="56">
        <f t="shared" si="22"/>
        <v>6</v>
      </c>
      <c r="AN29" s="56">
        <f t="shared" si="22"/>
        <v>6</v>
      </c>
      <c r="AO29" s="56">
        <f t="shared" si="22"/>
        <v>0</v>
      </c>
      <c r="AP29" s="56">
        <f t="shared" si="22"/>
        <v>0</v>
      </c>
      <c r="AQ29" s="56">
        <f t="shared" si="22"/>
        <v>0</v>
      </c>
      <c r="AR29" s="56">
        <f>COUNTIF(AR6:AR28,"朝")+COUNTIF(AR6:AR28,"昼")+COUNTIF(AR6:AR28,"夕")+COUNTIF(AR6:AR28,"お")+COUNTIF(AR6:AR28,"○")</f>
        <v>0</v>
      </c>
      <c r="AS29" s="56">
        <f>COUNTIF(AS6:AS28,"朝")+COUNTIF(AS6:AS28,"昼")+COUNTIF(AS6:AS28,"夕")+COUNTIF(AS6:AS28,"お")+COUNTIF(AS6:AS28,"○")</f>
        <v>0</v>
      </c>
      <c r="AT29" s="56">
        <f>COUNTIF(AT6:AT28,"朝")+COUNTIF(AT6:AT28,"昼")+COUNTIF(AT6:AT28,"夕")+COUNTIF(AT6:AT28,"お")+COUNTIF(AT6:AT28,"○")</f>
        <v>0</v>
      </c>
      <c r="AU29" s="56">
        <f>COUNTIF(AU6:AU28,"朝")+COUNTIF(AU6:AU28,"昼")+COUNTIF(AU6:AU28,"夕")+COUNTIF(AU6:AU28,"お")+COUNTIF(AU6:AU28,"○")</f>
        <v>0</v>
      </c>
      <c r="AV29" s="56">
        <f>SUM(M29:AQ29)</f>
        <v>202</v>
      </c>
      <c r="AW29" s="56"/>
      <c r="AX29" s="63" t="s">
        <v>388</v>
      </c>
      <c r="AY29" s="56" t="s">
        <v>389</v>
      </c>
      <c r="AZ29" s="56"/>
      <c r="BA29" s="56"/>
      <c r="BB29" s="56"/>
      <c r="BC29" s="118" t="s">
        <v>390</v>
      </c>
      <c r="BD29" s="88"/>
    </row>
    <row r="30" spans="1:58" s="54" customFormat="1" ht="24" customHeight="1" x14ac:dyDescent="0.45">
      <c r="A30" s="72"/>
      <c r="B30" s="45" t="s">
        <v>391</v>
      </c>
      <c r="C30" s="57"/>
      <c r="D30" s="57"/>
      <c r="E30" s="57"/>
      <c r="F30" s="57"/>
      <c r="G30" s="57"/>
      <c r="H30" s="57"/>
      <c r="I30" s="57"/>
      <c r="J30" s="57"/>
      <c r="K30" s="57"/>
      <c r="L30" s="57"/>
      <c r="M30" s="56">
        <f>8-M29</f>
        <v>2</v>
      </c>
      <c r="N30" s="56">
        <f t="shared" ref="N30:AQ30" si="23">8-N29</f>
        <v>0</v>
      </c>
      <c r="O30" s="56">
        <f t="shared" si="23"/>
        <v>-1</v>
      </c>
      <c r="P30" s="56">
        <f t="shared" si="23"/>
        <v>0</v>
      </c>
      <c r="Q30" s="56">
        <f t="shared" si="23"/>
        <v>2</v>
      </c>
      <c r="R30" s="56">
        <f t="shared" si="23"/>
        <v>4</v>
      </c>
      <c r="S30" s="56">
        <f t="shared" si="23"/>
        <v>1</v>
      </c>
      <c r="T30" s="56">
        <f t="shared" si="23"/>
        <v>0</v>
      </c>
      <c r="U30" s="56">
        <f t="shared" si="23"/>
        <v>-1</v>
      </c>
      <c r="V30" s="56">
        <f t="shared" si="23"/>
        <v>0</v>
      </c>
      <c r="W30" s="56">
        <f t="shared" si="23"/>
        <v>1</v>
      </c>
      <c r="X30" s="56">
        <f t="shared" si="23"/>
        <v>-1</v>
      </c>
      <c r="Y30" s="56">
        <f t="shared" si="23"/>
        <v>2</v>
      </c>
      <c r="Z30" s="56">
        <f t="shared" si="23"/>
        <v>2</v>
      </c>
      <c r="AA30" s="56">
        <f t="shared" si="23"/>
        <v>1</v>
      </c>
      <c r="AB30" s="56">
        <f t="shared" si="23"/>
        <v>1</v>
      </c>
      <c r="AC30" s="56">
        <f t="shared" si="23"/>
        <v>0</v>
      </c>
      <c r="AD30" s="56">
        <f t="shared" si="23"/>
        <v>1</v>
      </c>
      <c r="AE30" s="56">
        <f t="shared" si="23"/>
        <v>1</v>
      </c>
      <c r="AF30" s="56">
        <f t="shared" si="23"/>
        <v>1</v>
      </c>
      <c r="AG30" s="56">
        <f t="shared" si="23"/>
        <v>0</v>
      </c>
      <c r="AH30" s="56">
        <f t="shared" si="23"/>
        <v>-1</v>
      </c>
      <c r="AI30" s="56">
        <f t="shared" si="23"/>
        <v>-1</v>
      </c>
      <c r="AJ30" s="56">
        <f t="shared" si="23"/>
        <v>2</v>
      </c>
      <c r="AK30" s="56">
        <f t="shared" si="23"/>
        <v>2</v>
      </c>
      <c r="AL30" s="56">
        <f t="shared" si="23"/>
        <v>0</v>
      </c>
      <c r="AM30" s="56">
        <f t="shared" si="23"/>
        <v>2</v>
      </c>
      <c r="AN30" s="56">
        <f t="shared" si="23"/>
        <v>2</v>
      </c>
      <c r="AO30" s="56">
        <f t="shared" si="23"/>
        <v>8</v>
      </c>
      <c r="AP30" s="56">
        <f t="shared" si="23"/>
        <v>8</v>
      </c>
      <c r="AQ30" s="56">
        <f t="shared" si="23"/>
        <v>8</v>
      </c>
      <c r="AR30" s="56"/>
      <c r="AS30" s="56"/>
      <c r="AT30" s="56"/>
      <c r="AU30" s="56"/>
      <c r="AV30" s="56">
        <f t="shared" ref="AV30" si="24">SUM(M30:AQ30)</f>
        <v>46</v>
      </c>
      <c r="AW30" s="56"/>
      <c r="AX30" s="63">
        <f>AVERAGE(M29:AQ29)</f>
        <v>6.5161290322580649</v>
      </c>
      <c r="AY30" s="65">
        <f>8*365/12-AV29</f>
        <v>41.333333333333343</v>
      </c>
      <c r="AZ30" s="65"/>
      <c r="BA30" s="65"/>
      <c r="BB30" s="56"/>
      <c r="BC30" s="63">
        <f>AVERAGE(BC5:BC29)</f>
        <v>2.9523809523809526</v>
      </c>
      <c r="BD30" s="67"/>
      <c r="BE30" s="61"/>
      <c r="BF30" s="55"/>
    </row>
    <row r="31" spans="1:58" s="54" customFormat="1" ht="24" customHeight="1" x14ac:dyDescent="0.45">
      <c r="A31" s="72"/>
      <c r="B31" s="57" t="s">
        <v>392</v>
      </c>
      <c r="C31" s="57"/>
      <c r="D31" s="57"/>
      <c r="E31" s="57"/>
      <c r="F31" s="57"/>
      <c r="G31" s="57"/>
      <c r="H31" s="57"/>
      <c r="I31" s="57"/>
      <c r="J31" s="57"/>
      <c r="K31" s="57"/>
      <c r="L31" s="57"/>
      <c r="M31" s="56">
        <f t="shared" ref="M31:AQ31" si="25">COUNTIF(M5:M28,"昼")</f>
        <v>1</v>
      </c>
      <c r="N31" s="56">
        <f t="shared" si="25"/>
        <v>3</v>
      </c>
      <c r="O31" s="56">
        <f t="shared" si="25"/>
        <v>2</v>
      </c>
      <c r="P31" s="56">
        <f t="shared" si="25"/>
        <v>0</v>
      </c>
      <c r="Q31" s="56">
        <f t="shared" si="25"/>
        <v>0</v>
      </c>
      <c r="R31" s="56">
        <f t="shared" si="25"/>
        <v>0</v>
      </c>
      <c r="S31" s="56">
        <f t="shared" si="25"/>
        <v>3</v>
      </c>
      <c r="T31" s="56">
        <f t="shared" si="25"/>
        <v>2</v>
      </c>
      <c r="U31" s="56">
        <f t="shared" si="25"/>
        <v>3</v>
      </c>
      <c r="V31" s="56">
        <f t="shared" si="25"/>
        <v>1</v>
      </c>
      <c r="W31" s="56">
        <f t="shared" si="25"/>
        <v>1</v>
      </c>
      <c r="X31" s="56">
        <f t="shared" si="25"/>
        <v>3</v>
      </c>
      <c r="Y31" s="56">
        <f t="shared" si="25"/>
        <v>0</v>
      </c>
      <c r="Z31" s="56">
        <f t="shared" si="25"/>
        <v>3</v>
      </c>
      <c r="AA31" s="56">
        <f t="shared" si="25"/>
        <v>2</v>
      </c>
      <c r="AB31" s="56">
        <f t="shared" si="25"/>
        <v>2</v>
      </c>
      <c r="AC31" s="56">
        <f t="shared" si="25"/>
        <v>2</v>
      </c>
      <c r="AD31" s="56">
        <f t="shared" si="25"/>
        <v>2</v>
      </c>
      <c r="AE31" s="56">
        <f t="shared" si="25"/>
        <v>1</v>
      </c>
      <c r="AF31" s="56">
        <f t="shared" si="25"/>
        <v>1</v>
      </c>
      <c r="AG31" s="56">
        <f t="shared" si="25"/>
        <v>4</v>
      </c>
      <c r="AH31" s="56">
        <f t="shared" si="25"/>
        <v>2</v>
      </c>
      <c r="AI31" s="56">
        <f t="shared" si="25"/>
        <v>2</v>
      </c>
      <c r="AJ31" s="56">
        <f t="shared" si="25"/>
        <v>1</v>
      </c>
      <c r="AK31" s="56">
        <f t="shared" si="25"/>
        <v>1</v>
      </c>
      <c r="AL31" s="56">
        <f t="shared" si="25"/>
        <v>2</v>
      </c>
      <c r="AM31" s="56">
        <f t="shared" si="25"/>
        <v>0</v>
      </c>
      <c r="AN31" s="56">
        <f t="shared" si="25"/>
        <v>2</v>
      </c>
      <c r="AO31" s="56">
        <f t="shared" si="25"/>
        <v>0</v>
      </c>
      <c r="AP31" s="56">
        <f t="shared" si="25"/>
        <v>0</v>
      </c>
      <c r="AQ31" s="56">
        <f t="shared" si="25"/>
        <v>0</v>
      </c>
      <c r="AR31" s="56">
        <f>COUNTIF(AR5:AR5,"昼")</f>
        <v>0</v>
      </c>
      <c r="AS31" s="56">
        <f>COUNTIF(AS5:AS5,"昼")</f>
        <v>0</v>
      </c>
      <c r="AT31" s="56">
        <f>COUNTIF(AT5:AT5,"昼")</f>
        <v>0</v>
      </c>
      <c r="AU31" s="56">
        <f>COUNTIF(AU5:AU5,"昼")</f>
        <v>0</v>
      </c>
      <c r="AV31" s="56">
        <f t="shared" ref="AV31:AV33" si="26">SUM(M31:AQ31)</f>
        <v>46</v>
      </c>
      <c r="AW31" s="56"/>
      <c r="AX31" s="56"/>
      <c r="AY31" s="56" t="s">
        <v>393</v>
      </c>
      <c r="AZ31" s="56"/>
      <c r="BA31" s="56"/>
      <c r="BB31" s="66"/>
      <c r="BC31" s="66"/>
      <c r="BD31" s="67"/>
      <c r="BE31" s="61"/>
      <c r="BF31" s="55"/>
    </row>
    <row r="32" spans="1:58" s="54" customFormat="1" ht="24" customHeight="1" x14ac:dyDescent="0.45">
      <c r="A32" s="72"/>
      <c r="B32" s="57" t="s">
        <v>394</v>
      </c>
      <c r="C32" s="57"/>
      <c r="D32" s="57"/>
      <c r="E32" s="57"/>
      <c r="F32" s="57"/>
      <c r="G32" s="57"/>
      <c r="H32" s="57"/>
      <c r="I32" s="57"/>
      <c r="J32" s="57"/>
      <c r="K32" s="57"/>
      <c r="L32" s="57"/>
      <c r="M32" s="56">
        <f t="shared" ref="M32:AQ32" si="27">COUNTIF(M5:M29,"お")</f>
        <v>1</v>
      </c>
      <c r="N32" s="56">
        <f t="shared" si="27"/>
        <v>0</v>
      </c>
      <c r="O32" s="56">
        <f t="shared" si="27"/>
        <v>1</v>
      </c>
      <c r="P32" s="56">
        <f t="shared" si="27"/>
        <v>2</v>
      </c>
      <c r="Q32" s="56">
        <f t="shared" si="27"/>
        <v>1</v>
      </c>
      <c r="R32" s="56">
        <f t="shared" si="27"/>
        <v>0</v>
      </c>
      <c r="S32" s="56">
        <f t="shared" si="27"/>
        <v>0</v>
      </c>
      <c r="T32" s="56">
        <f t="shared" si="27"/>
        <v>1</v>
      </c>
      <c r="U32" s="56">
        <f t="shared" si="27"/>
        <v>1</v>
      </c>
      <c r="V32" s="56">
        <f t="shared" si="27"/>
        <v>2</v>
      </c>
      <c r="W32" s="56">
        <f t="shared" si="27"/>
        <v>1</v>
      </c>
      <c r="X32" s="56">
        <f t="shared" si="27"/>
        <v>1</v>
      </c>
      <c r="Y32" s="56">
        <f t="shared" si="27"/>
        <v>2</v>
      </c>
      <c r="Z32" s="56">
        <f t="shared" si="27"/>
        <v>0</v>
      </c>
      <c r="AA32" s="56">
        <f t="shared" si="27"/>
        <v>1</v>
      </c>
      <c r="AB32" s="56">
        <f t="shared" si="27"/>
        <v>0</v>
      </c>
      <c r="AC32" s="56">
        <f t="shared" si="27"/>
        <v>2</v>
      </c>
      <c r="AD32" s="56">
        <f t="shared" si="27"/>
        <v>2</v>
      </c>
      <c r="AE32" s="56">
        <f t="shared" si="27"/>
        <v>1</v>
      </c>
      <c r="AF32" s="56">
        <f t="shared" si="27"/>
        <v>3</v>
      </c>
      <c r="AG32" s="56">
        <f t="shared" si="27"/>
        <v>0</v>
      </c>
      <c r="AH32" s="56">
        <f t="shared" si="27"/>
        <v>1</v>
      </c>
      <c r="AI32" s="56">
        <f t="shared" si="27"/>
        <v>3</v>
      </c>
      <c r="AJ32" s="56">
        <f t="shared" si="27"/>
        <v>1</v>
      </c>
      <c r="AK32" s="56">
        <f t="shared" si="27"/>
        <v>0</v>
      </c>
      <c r="AL32" s="56">
        <f t="shared" si="27"/>
        <v>1</v>
      </c>
      <c r="AM32" s="56">
        <f t="shared" si="27"/>
        <v>2</v>
      </c>
      <c r="AN32" s="56">
        <f t="shared" si="27"/>
        <v>0</v>
      </c>
      <c r="AO32" s="56">
        <f t="shared" si="27"/>
        <v>0</v>
      </c>
      <c r="AP32" s="56">
        <f t="shared" si="27"/>
        <v>0</v>
      </c>
      <c r="AQ32" s="56">
        <f t="shared" si="27"/>
        <v>0</v>
      </c>
      <c r="AR32" s="56">
        <f>COUNTIF(AR5:AR28,"お")</f>
        <v>0</v>
      </c>
      <c r="AS32" s="56">
        <f>COUNTIF(AS5:AS28,"お")</f>
        <v>0</v>
      </c>
      <c r="AT32" s="56">
        <f>COUNTIF(AT5:AT28,"お")</f>
        <v>0</v>
      </c>
      <c r="AU32" s="56">
        <f>COUNTIF(AU5:AU28,"お")</f>
        <v>0</v>
      </c>
      <c r="AV32" s="56">
        <f t="shared" si="26"/>
        <v>30</v>
      </c>
      <c r="AW32" s="56"/>
      <c r="AX32" s="56"/>
      <c r="AY32" s="56"/>
      <c r="AZ32" s="56"/>
      <c r="BA32" s="56"/>
      <c r="BB32" s="66"/>
      <c r="BC32" s="66"/>
      <c r="BD32" s="88"/>
      <c r="BE32" s="61"/>
      <c r="BF32" s="55"/>
    </row>
    <row r="33" spans="1:58" s="54" customFormat="1" ht="24" customHeight="1" x14ac:dyDescent="0.45">
      <c r="A33" s="72"/>
      <c r="B33" s="57" t="s">
        <v>395</v>
      </c>
      <c r="C33" s="57"/>
      <c r="D33" s="57"/>
      <c r="E33" s="57"/>
      <c r="F33" s="57"/>
      <c r="G33" s="57"/>
      <c r="H33" s="57"/>
      <c r="I33" s="57"/>
      <c r="J33" s="57"/>
      <c r="K33" s="57"/>
      <c r="L33" s="57"/>
      <c r="M33" s="56">
        <f t="shared" ref="M33:AQ33" si="28">COUNTIF(M5:M28,"お")+COUNTIF(M5:M28,"夕")</f>
        <v>1</v>
      </c>
      <c r="N33" s="56">
        <f t="shared" si="28"/>
        <v>1</v>
      </c>
      <c r="O33" s="56">
        <f t="shared" si="28"/>
        <v>1</v>
      </c>
      <c r="P33" s="56">
        <f t="shared" si="28"/>
        <v>2</v>
      </c>
      <c r="Q33" s="56">
        <f t="shared" si="28"/>
        <v>2</v>
      </c>
      <c r="R33" s="56">
        <f t="shared" si="28"/>
        <v>0</v>
      </c>
      <c r="S33" s="56">
        <f t="shared" si="28"/>
        <v>1</v>
      </c>
      <c r="T33" s="56">
        <f t="shared" si="28"/>
        <v>2</v>
      </c>
      <c r="U33" s="56">
        <f t="shared" si="28"/>
        <v>2</v>
      </c>
      <c r="V33" s="56">
        <f t="shared" si="28"/>
        <v>2</v>
      </c>
      <c r="W33" s="56">
        <f t="shared" si="28"/>
        <v>1</v>
      </c>
      <c r="X33" s="56">
        <f t="shared" si="28"/>
        <v>2</v>
      </c>
      <c r="Y33" s="56">
        <f t="shared" si="28"/>
        <v>2</v>
      </c>
      <c r="Z33" s="56">
        <f t="shared" si="28"/>
        <v>1</v>
      </c>
      <c r="AA33" s="56">
        <f t="shared" si="28"/>
        <v>2</v>
      </c>
      <c r="AB33" s="56">
        <f t="shared" si="28"/>
        <v>1</v>
      </c>
      <c r="AC33" s="56">
        <f t="shared" si="28"/>
        <v>2</v>
      </c>
      <c r="AD33" s="56">
        <f t="shared" si="28"/>
        <v>2</v>
      </c>
      <c r="AE33" s="56">
        <f t="shared" si="28"/>
        <v>1</v>
      </c>
      <c r="AF33" s="56">
        <f t="shared" si="28"/>
        <v>3</v>
      </c>
      <c r="AG33" s="56">
        <f t="shared" si="28"/>
        <v>1</v>
      </c>
      <c r="AH33" s="56">
        <f t="shared" si="28"/>
        <v>2</v>
      </c>
      <c r="AI33" s="56">
        <f t="shared" si="28"/>
        <v>4</v>
      </c>
      <c r="AJ33" s="56">
        <f t="shared" si="28"/>
        <v>1</v>
      </c>
      <c r="AK33" s="56">
        <f t="shared" si="28"/>
        <v>0</v>
      </c>
      <c r="AL33" s="56">
        <f t="shared" si="28"/>
        <v>2</v>
      </c>
      <c r="AM33" s="56">
        <f t="shared" si="28"/>
        <v>2</v>
      </c>
      <c r="AN33" s="56">
        <f t="shared" si="28"/>
        <v>1</v>
      </c>
      <c r="AO33" s="56">
        <f t="shared" si="28"/>
        <v>0</v>
      </c>
      <c r="AP33" s="56">
        <f t="shared" si="28"/>
        <v>0</v>
      </c>
      <c r="AQ33" s="56">
        <f t="shared" si="28"/>
        <v>0</v>
      </c>
      <c r="AR33" s="56">
        <f>COUNTIF(AR5:AR5,"お")+COUNTIF(AR5:AR5,"夕")</f>
        <v>0</v>
      </c>
      <c r="AS33" s="56">
        <f>COUNTIF(AS5:AS5,"お")+COUNTIF(AS5:AS5,"夕")</f>
        <v>0</v>
      </c>
      <c r="AT33" s="56">
        <f>COUNTIF(AT5:AT5,"お")+COUNTIF(AT5:AT5,"夕")</f>
        <v>0</v>
      </c>
      <c r="AU33" s="56">
        <f>COUNTIF(AU5:AU5,"お")+COUNTIF(AU5:AU5,"夕")</f>
        <v>0</v>
      </c>
      <c r="AV33" s="56">
        <f t="shared" si="26"/>
        <v>44</v>
      </c>
      <c r="AW33" s="56"/>
      <c r="AX33" s="56"/>
      <c r="AY33" s="56"/>
      <c r="AZ33" s="56"/>
      <c r="BA33" s="56"/>
      <c r="BB33" s="66"/>
      <c r="BC33" s="66"/>
      <c r="BD33" s="88"/>
      <c r="BE33" s="61"/>
      <c r="BF33" s="55"/>
    </row>
    <row r="34" spans="1:58" s="54" customFormat="1" ht="24" customHeight="1" x14ac:dyDescent="0.45">
      <c r="A34" s="72"/>
      <c r="BB34" s="69"/>
      <c r="BC34" s="115"/>
      <c r="BD34" s="88"/>
      <c r="BE34" s="61"/>
      <c r="BF34" s="55"/>
    </row>
    <row r="35" spans="1:58" s="54" customFormat="1" ht="24" customHeight="1" x14ac:dyDescent="0.45">
      <c r="A35" s="72"/>
      <c r="BB35" s="69" t="s">
        <v>396</v>
      </c>
      <c r="BC35" s="115"/>
      <c r="BD35" s="69"/>
      <c r="BE35" s="55"/>
    </row>
    <row r="36" spans="1:58" s="54" customFormat="1" ht="24" customHeight="1" x14ac:dyDescent="0.45">
      <c r="A36" s="73"/>
      <c r="BB36" s="69"/>
      <c r="BC36" s="115"/>
      <c r="BD36" s="69"/>
      <c r="BE36" s="53"/>
      <c r="BF36" s="55" t="s">
        <v>401</v>
      </c>
    </row>
    <row r="37" spans="1:58" s="54" customFormat="1" ht="24" customHeight="1" x14ac:dyDescent="0.45">
      <c r="A37" s="53"/>
      <c r="BB37" s="69"/>
      <c r="BC37" s="115"/>
      <c r="BD37" s="69"/>
      <c r="BE37" s="53"/>
      <c r="BF37" s="55"/>
    </row>
    <row r="38" spans="1:58" s="54" customFormat="1" ht="24" customHeight="1" x14ac:dyDescent="0.45">
      <c r="A38" s="53"/>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70"/>
      <c r="BC38" s="116"/>
      <c r="BD38" s="69"/>
      <c r="BE38" s="53"/>
      <c r="BF38" s="55"/>
    </row>
    <row r="39" spans="1:58" s="54" customFormat="1" ht="24" customHeight="1" x14ac:dyDescent="0.45">
      <c r="A39" s="53"/>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70"/>
      <c r="BC39" s="116"/>
      <c r="BD39" s="70"/>
      <c r="BE39" s="53"/>
      <c r="BF39" s="55"/>
    </row>
    <row r="40" spans="1:58" s="54" customFormat="1" ht="24" customHeight="1" x14ac:dyDescent="0.45">
      <c r="A40" s="48"/>
      <c r="B40" s="75" t="s">
        <v>489</v>
      </c>
      <c r="C40" s="57"/>
      <c r="D40" s="57"/>
      <c r="E40" s="57"/>
      <c r="F40" s="57"/>
      <c r="G40" s="57"/>
      <c r="H40" s="57"/>
      <c r="I40" s="57"/>
      <c r="J40" s="57"/>
      <c r="K40" s="57"/>
      <c r="L40" s="57"/>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t="str">
        <f t="shared" ref="AR40:AR45" si="29">IF(COUNTIF($M40:$AQ40,"昼")=0,"",COUNTIF($M40:$AQ40,"昼"))</f>
        <v/>
      </c>
      <c r="AS40" s="56" t="str">
        <f t="shared" ref="AS40:AS45" si="30">IF(COUNTIF($M40:$AQ40,"○")=0,"",COUNTIF($M40:$AQ40,"○"))</f>
        <v/>
      </c>
      <c r="AT40" s="56" t="str">
        <f t="shared" ref="AT40:AT45" si="31">IF(COUNTIF($M40:$AQ40,"お")=0,"",COUNTIF($M40:$AQ40,"お"))</f>
        <v/>
      </c>
      <c r="AU40" s="56" t="str">
        <f t="shared" ref="AU40:AU45" si="32">IF(COUNTIF($M40:$AQ40,"夕")=0,"",COUNTIF($M40:$AQ40,"夕"))</f>
        <v/>
      </c>
      <c r="AV40" s="56" t="str">
        <f t="shared" ref="AV40" si="33">IF(COUNTA(M40:AQ40)=0,"",SUM(AR40:AU40))</f>
        <v/>
      </c>
      <c r="AW40" s="56"/>
      <c r="AX40" s="56" t="s">
        <v>336</v>
      </c>
      <c r="AY40" s="59">
        <v>8039162381</v>
      </c>
      <c r="AZ40" s="59"/>
      <c r="BA40" s="59"/>
      <c r="BB40" s="66" t="s">
        <v>326</v>
      </c>
      <c r="BC40" s="66"/>
      <c r="BD40" s="70"/>
      <c r="BE40" s="53"/>
      <c r="BF40" s="55"/>
    </row>
    <row r="41" spans="1:58" s="54" customFormat="1" ht="24" customHeight="1" x14ac:dyDescent="0.45">
      <c r="A41" s="48"/>
      <c r="B41" s="57" t="s">
        <v>397</v>
      </c>
      <c r="C41" s="57"/>
      <c r="D41" s="57"/>
      <c r="E41" s="57"/>
      <c r="F41" s="57"/>
      <c r="G41" s="57"/>
      <c r="H41" s="57"/>
      <c r="I41" s="57"/>
      <c r="J41" s="57" t="str">
        <f t="shared" ref="J41:J42" si="34">IF(COUNTA(C41:I41)=0,"",COUNTA(C41:I41))</f>
        <v/>
      </c>
      <c r="K41" s="57"/>
      <c r="L41" s="57"/>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t="str">
        <f t="shared" si="29"/>
        <v/>
      </c>
      <c r="AS41" s="56" t="str">
        <f t="shared" si="30"/>
        <v/>
      </c>
      <c r="AT41" s="56" t="str">
        <f t="shared" si="31"/>
        <v/>
      </c>
      <c r="AU41" s="56" t="str">
        <f t="shared" si="32"/>
        <v/>
      </c>
      <c r="AV41" s="56" t="str">
        <f t="shared" ref="AV41:AV45" si="35">IF(COUNTA(M41:AQ41)=0,"",SUM(AR41:AU41))</f>
        <v/>
      </c>
      <c r="AW41" s="56"/>
      <c r="AX41" s="56" t="s">
        <v>398</v>
      </c>
      <c r="AY41" s="59">
        <v>9068599322</v>
      </c>
      <c r="AZ41" s="59"/>
      <c r="BA41" s="59"/>
      <c r="BB41" s="66"/>
      <c r="BC41" s="66"/>
      <c r="BD41" s="88"/>
      <c r="BE41" s="53"/>
      <c r="BF41" s="55"/>
    </row>
    <row r="42" spans="1:58" s="54" customFormat="1" ht="26.4" customHeight="1" x14ac:dyDescent="0.45">
      <c r="A42" s="72">
        <v>18</v>
      </c>
      <c r="B42" s="57" t="s">
        <v>399</v>
      </c>
      <c r="C42" s="57"/>
      <c r="D42" s="57"/>
      <c r="E42" s="57"/>
      <c r="F42" s="57"/>
      <c r="G42" s="57"/>
      <c r="H42" s="57"/>
      <c r="I42" s="57"/>
      <c r="J42" s="57" t="str">
        <f t="shared" si="34"/>
        <v/>
      </c>
      <c r="K42" s="57"/>
      <c r="L42" s="57"/>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t="str">
        <f t="shared" si="29"/>
        <v/>
      </c>
      <c r="AS42" s="56" t="str">
        <f t="shared" si="30"/>
        <v/>
      </c>
      <c r="AT42" s="56" t="str">
        <f t="shared" si="31"/>
        <v/>
      </c>
      <c r="AU42" s="56" t="str">
        <f t="shared" si="32"/>
        <v/>
      </c>
      <c r="AV42" s="56" t="str">
        <f t="shared" si="35"/>
        <v/>
      </c>
      <c r="AW42" s="56"/>
      <c r="AX42" s="56" t="s">
        <v>400</v>
      </c>
      <c r="AY42" s="59">
        <v>8046668865</v>
      </c>
      <c r="AZ42" s="59"/>
      <c r="BA42" s="59"/>
      <c r="BB42" s="66"/>
      <c r="BC42" s="66"/>
      <c r="BD42" s="88"/>
      <c r="BE42" s="53"/>
      <c r="BF42" s="55"/>
    </row>
    <row r="43" spans="1:58" s="54" customFormat="1" ht="26.4" customHeight="1" x14ac:dyDescent="0.45">
      <c r="A43" s="72">
        <v>19</v>
      </c>
      <c r="B43" s="75" t="s">
        <v>354</v>
      </c>
      <c r="C43" s="57"/>
      <c r="D43" s="57"/>
      <c r="E43" s="57"/>
      <c r="F43" s="57"/>
      <c r="G43" s="57"/>
      <c r="H43" s="57"/>
      <c r="I43" s="57"/>
      <c r="J43" s="57"/>
      <c r="K43" s="57"/>
      <c r="L43" s="57"/>
      <c r="M43" s="56"/>
      <c r="N43" s="56"/>
      <c r="O43" s="56"/>
      <c r="P43" s="56"/>
      <c r="Q43" s="56"/>
      <c r="R43" s="56"/>
      <c r="S43" s="56"/>
      <c r="T43" s="56"/>
      <c r="U43" s="56"/>
      <c r="V43" s="56"/>
      <c r="W43" s="58"/>
      <c r="X43" s="56"/>
      <c r="Y43" s="56"/>
      <c r="Z43" s="56"/>
      <c r="AA43" s="56"/>
      <c r="AB43" s="56"/>
      <c r="AC43" s="56"/>
      <c r="AD43" s="56"/>
      <c r="AE43" s="56"/>
      <c r="AF43" s="56"/>
      <c r="AG43" s="56"/>
      <c r="AH43" s="56"/>
      <c r="AI43" s="56"/>
      <c r="AJ43" s="56"/>
      <c r="AK43" s="56"/>
      <c r="AL43" s="56"/>
      <c r="AM43" s="56"/>
      <c r="AN43" s="56"/>
      <c r="AO43" s="56"/>
      <c r="AP43" s="56"/>
      <c r="AQ43" s="56"/>
      <c r="AR43" s="56" t="str">
        <f t="shared" si="29"/>
        <v/>
      </c>
      <c r="AS43" s="56" t="str">
        <f t="shared" si="30"/>
        <v/>
      </c>
      <c r="AT43" s="56" t="str">
        <f t="shared" si="31"/>
        <v/>
      </c>
      <c r="AU43" s="56" t="str">
        <f t="shared" si="32"/>
        <v/>
      </c>
      <c r="AV43" s="56" t="str">
        <f t="shared" si="35"/>
        <v/>
      </c>
      <c r="AW43" s="56"/>
      <c r="AX43" s="56" t="s">
        <v>490</v>
      </c>
      <c r="AY43" s="59">
        <v>9079299157</v>
      </c>
      <c r="AZ43" s="59"/>
      <c r="BA43" s="59"/>
      <c r="BB43" s="66" t="s">
        <v>326</v>
      </c>
      <c r="BC43" s="66"/>
      <c r="BD43" s="88"/>
    </row>
    <row r="44" spans="1:58" s="54" customFormat="1" ht="26.4" customHeight="1" x14ac:dyDescent="0.45">
      <c r="A44" s="72">
        <v>20</v>
      </c>
      <c r="B44" s="57" t="s">
        <v>376</v>
      </c>
      <c r="C44" s="57"/>
      <c r="D44" s="57"/>
      <c r="E44" s="57"/>
      <c r="F44" s="57"/>
      <c r="G44" s="57"/>
      <c r="H44" s="57"/>
      <c r="I44" s="57"/>
      <c r="J44" s="57" t="str">
        <f t="shared" ref="J44:J45" si="36">IF(COUNTA(C44:I44)=0,"",COUNTA(C44:I44))</f>
        <v/>
      </c>
      <c r="K44" s="57"/>
      <c r="L44" s="57"/>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t="str">
        <f t="shared" si="29"/>
        <v/>
      </c>
      <c r="AS44" s="56" t="str">
        <f t="shared" si="30"/>
        <v/>
      </c>
      <c r="AT44" s="56" t="str">
        <f t="shared" si="31"/>
        <v/>
      </c>
      <c r="AU44" s="56" t="str">
        <f t="shared" si="32"/>
        <v/>
      </c>
      <c r="AV44" s="56" t="str">
        <f t="shared" si="35"/>
        <v/>
      </c>
      <c r="AW44" s="56"/>
      <c r="AX44" s="56" t="s">
        <v>336</v>
      </c>
      <c r="AY44" s="59">
        <v>8039162381</v>
      </c>
      <c r="AZ44" s="59"/>
      <c r="BA44" s="59"/>
      <c r="BB44" s="66" t="s">
        <v>347</v>
      </c>
      <c r="BC44" s="66"/>
      <c r="BD44" s="88"/>
      <c r="BE44" s="53"/>
    </row>
    <row r="45" spans="1:58" s="54" customFormat="1" ht="26.4" customHeight="1" x14ac:dyDescent="0.45">
      <c r="A45" s="72">
        <v>21</v>
      </c>
      <c r="B45" s="57" t="s">
        <v>169</v>
      </c>
      <c r="C45" s="57" t="s">
        <v>491</v>
      </c>
      <c r="D45" s="57" t="s">
        <v>492</v>
      </c>
      <c r="E45" s="57" t="s">
        <v>493</v>
      </c>
      <c r="F45" s="57" t="s">
        <v>494</v>
      </c>
      <c r="G45" s="57"/>
      <c r="H45" s="57"/>
      <c r="I45" s="57"/>
      <c r="J45" s="57">
        <f t="shared" si="36"/>
        <v>4</v>
      </c>
      <c r="K45" s="57"/>
      <c r="L45" s="57"/>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t="str">
        <f t="shared" si="29"/>
        <v/>
      </c>
      <c r="AS45" s="56" t="str">
        <f t="shared" si="30"/>
        <v/>
      </c>
      <c r="AT45" s="56" t="str">
        <f t="shared" si="31"/>
        <v/>
      </c>
      <c r="AU45" s="56" t="str">
        <f t="shared" si="32"/>
        <v/>
      </c>
      <c r="AV45" s="56" t="str">
        <f t="shared" si="35"/>
        <v/>
      </c>
      <c r="AW45" s="56"/>
      <c r="AX45" s="56" t="s">
        <v>495</v>
      </c>
      <c r="AY45" s="59" t="s">
        <v>496</v>
      </c>
      <c r="AZ45" s="59"/>
      <c r="BA45" s="59"/>
      <c r="BB45" s="66"/>
      <c r="BC45" s="66"/>
      <c r="BD45" s="88"/>
      <c r="BE45" s="53"/>
    </row>
    <row r="46" spans="1:58" s="54" customFormat="1" ht="26.4" customHeight="1" x14ac:dyDescent="0.45">
      <c r="A46" s="72">
        <v>22</v>
      </c>
      <c r="B46" s="57" t="s">
        <v>367</v>
      </c>
      <c r="C46" s="57"/>
      <c r="D46" s="57"/>
      <c r="E46" s="57"/>
      <c r="F46" s="57"/>
      <c r="G46" s="57"/>
      <c r="H46" s="57"/>
      <c r="I46" s="57"/>
      <c r="J46" s="57"/>
      <c r="K46" s="57"/>
      <c r="L46" s="57"/>
      <c r="M46" s="56"/>
      <c r="N46" s="56"/>
      <c r="O46" s="56"/>
      <c r="P46" s="58"/>
      <c r="Q46" s="56"/>
      <c r="R46" s="56"/>
      <c r="S46" s="56"/>
      <c r="T46" s="56"/>
      <c r="U46" s="56"/>
      <c r="V46" s="56"/>
      <c r="W46" s="58"/>
      <c r="X46" s="56"/>
      <c r="Y46" s="56"/>
      <c r="Z46" s="56"/>
      <c r="AA46" s="56"/>
      <c r="AB46" s="56"/>
      <c r="AC46" s="56"/>
      <c r="AD46" s="58"/>
      <c r="AE46" s="58"/>
      <c r="AF46" s="56"/>
      <c r="AG46" s="56"/>
      <c r="AH46" s="56"/>
      <c r="AI46" s="56"/>
      <c r="AJ46" s="56"/>
      <c r="AK46" s="56"/>
      <c r="AL46" s="56"/>
      <c r="AM46" s="56"/>
      <c r="AN46" s="56"/>
      <c r="AO46" s="56"/>
      <c r="AP46" s="56"/>
      <c r="AQ46" s="56"/>
      <c r="AR46" s="56"/>
      <c r="AS46" s="56"/>
      <c r="AT46" s="56"/>
      <c r="AU46" s="56"/>
      <c r="AV46" s="56"/>
      <c r="AW46" s="56">
        <v>223</v>
      </c>
      <c r="AX46" s="56" t="s">
        <v>356</v>
      </c>
      <c r="AY46" s="59">
        <v>7012498633</v>
      </c>
      <c r="AZ46" s="56" t="s">
        <v>402</v>
      </c>
      <c r="BA46" s="59">
        <v>9057498087</v>
      </c>
      <c r="BB46" s="66" t="s">
        <v>326</v>
      </c>
      <c r="BC46" s="115"/>
      <c r="BD46" s="88"/>
      <c r="BE46" s="53"/>
    </row>
    <row r="47" spans="1:58" s="54" customFormat="1" ht="26.4" customHeight="1" x14ac:dyDescent="0.45">
      <c r="A47" s="72">
        <v>23</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70"/>
      <c r="BE47" s="53"/>
    </row>
    <row r="48" spans="1:58" s="54" customFormat="1" ht="21.6" x14ac:dyDescent="0.45">
      <c r="A48" s="48"/>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row>
    <row r="49" spans="1:58" s="54" customFormat="1" ht="21.6" x14ac:dyDescent="0.45">
      <c r="A49" s="48"/>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0" spans="1:58" s="54" customFormat="1" ht="21.6" x14ac:dyDescent="0.45">
      <c r="A50" s="48"/>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1.6" x14ac:dyDescent="0.45">
      <c r="A51" s="48"/>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3" spans="1:58" s="54" customFormat="1" ht="26.4" customHeight="1"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c r="BF53" s="55"/>
    </row>
    <row r="54" spans="1:58" s="54" customFormat="1" ht="26.4" customHeight="1"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c r="BF54" s="55"/>
    </row>
    <row r="55" spans="1:58" s="54" customFormat="1" ht="26.4" customHeight="1" x14ac:dyDescent="0.45">
      <c r="A55" s="48"/>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c r="BF55" s="55"/>
    </row>
    <row r="56" spans="1:58" s="54" customFormat="1" ht="26.4" customHeight="1"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c r="BF56" s="55"/>
    </row>
    <row r="57" spans="1:58" s="54" customFormat="1" ht="26.4" customHeight="1"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c r="BF57" s="55"/>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sheetData>
  <mergeCells count="19">
    <mergeCell ref="BD3:BD4"/>
    <mergeCell ref="AX3:AX4"/>
    <mergeCell ref="AY3:AY4"/>
    <mergeCell ref="AZ3:AZ4"/>
    <mergeCell ref="BA3:BA4"/>
    <mergeCell ref="BB3:BB4"/>
    <mergeCell ref="BC3:BC4"/>
    <mergeCell ref="A3:A4"/>
    <mergeCell ref="B3:B4"/>
    <mergeCell ref="C3:J4"/>
    <mergeCell ref="K3:L4"/>
    <mergeCell ref="AV3:AV4"/>
    <mergeCell ref="AW3:AW4"/>
    <mergeCell ref="P1:R2"/>
    <mergeCell ref="S1:S2"/>
    <mergeCell ref="T1:U2"/>
    <mergeCell ref="V1:AN2"/>
    <mergeCell ref="AQ1:AV1"/>
    <mergeCell ref="AO2:AV2"/>
  </mergeCells>
  <phoneticPr fontId="1"/>
  <conditionalFormatting sqref="M13:AJ13 AL13:AQ13">
    <cfRule type="cellIs" dxfId="112" priority="18" operator="equal">
      <formula>"""夕"""</formula>
    </cfRule>
  </conditionalFormatting>
  <conditionalFormatting sqref="M19:AL19 M5:AW5 M6:AQ12 AR6:AW18 M13:AJ13 AL13:AQ13 M14:AQ18 AN19:AW19 M20:AV23 AW20:AW24 M24:Y24 AA24:AV24 M25:AV28 AW26:AW28">
    <cfRule type="cellIs" dxfId="111" priority="13" operator="equal">
      <formula>"お"</formula>
    </cfRule>
    <cfRule type="cellIs" dxfId="110" priority="14" operator="equal">
      <formula>"夕"</formula>
    </cfRule>
  </conditionalFormatting>
  <conditionalFormatting sqref="M40:AQ40">
    <cfRule type="cellIs" dxfId="109" priority="15" operator="equal">
      <formula>"""夕"""</formula>
    </cfRule>
  </conditionalFormatting>
  <conditionalFormatting sqref="M43:AQ43">
    <cfRule type="cellIs" dxfId="108" priority="17" operator="equal">
      <formula>"""夕"""</formula>
    </cfRule>
  </conditionalFormatting>
  <conditionalFormatting sqref="M4:AU4">
    <cfRule type="cellIs" dxfId="107" priority="21" operator="equal">
      <formula>"土"</formula>
    </cfRule>
    <cfRule type="cellIs" dxfId="106" priority="22" operator="equal">
      <formula>"日"</formula>
    </cfRule>
  </conditionalFormatting>
  <conditionalFormatting sqref="M29:AU29">
    <cfRule type="cellIs" dxfId="105" priority="19" operator="greaterThan">
      <formula>7</formula>
    </cfRule>
    <cfRule type="cellIs" dxfId="104" priority="20" operator="greaterThan">
      <formula>6</formula>
    </cfRule>
  </conditionalFormatting>
  <conditionalFormatting sqref="M40:AW46">
    <cfRule type="cellIs" dxfId="103" priority="11" operator="equal">
      <formula>"お"</formula>
    </cfRule>
    <cfRule type="cellIs" dxfId="102" priority="12" operator="equal">
      <formula>"夕"</formula>
    </cfRule>
  </conditionalFormatting>
  <conditionalFormatting sqref="P19">
    <cfRule type="containsText" dxfId="101" priority="1" operator="containsText" text="お">
      <formula>NOT(ISERROR(SEARCH("お",P19)))</formula>
    </cfRule>
  </conditionalFormatting>
  <conditionalFormatting sqref="AR40:AW40">
    <cfRule type="cellIs" dxfId="100" priority="16"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9" scale="6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5272-3D92-4769-A2A4-C3486ADB16C7}">
  <sheetPr>
    <pageSetUpPr fitToPage="1"/>
  </sheetPr>
  <dimension ref="A1:BF58"/>
  <sheetViews>
    <sheetView zoomScale="65" zoomScaleNormal="65" workbookViewId="0">
      <pane ySplit="4" topLeftCell="A5" activePane="bottomLeft" state="frozen"/>
      <selection pane="bottomLeft" activeCell="M6" sqref="M6"/>
    </sheetView>
  </sheetViews>
  <sheetFormatPr defaultColWidth="8.69921875" defaultRowHeight="18" x14ac:dyDescent="0.45"/>
  <cols>
    <col min="1" max="1" width="4.69921875" style="48" customWidth="1"/>
    <col min="2" max="2" width="18.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21.398437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3</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60" t="s">
        <v>308</v>
      </c>
      <c r="AX2" s="50"/>
      <c r="AY2" s="50"/>
      <c r="AZ2" s="50"/>
      <c r="BA2" s="71"/>
      <c r="BB2" s="117"/>
      <c r="BC2" s="71"/>
      <c r="BD2" s="154"/>
    </row>
    <row r="3" spans="1:58" s="53" customFormat="1" ht="26.4" customHeight="1" x14ac:dyDescent="0.45">
      <c r="A3" s="168"/>
      <c r="B3" s="170" t="s">
        <v>0</v>
      </c>
      <c r="C3" s="165" t="s">
        <v>309</v>
      </c>
      <c r="D3" s="165"/>
      <c r="E3" s="165"/>
      <c r="F3" s="165"/>
      <c r="G3" s="165"/>
      <c r="H3" s="165"/>
      <c r="I3" s="165"/>
      <c r="J3" s="165"/>
      <c r="K3" s="165" t="s">
        <v>310</v>
      </c>
      <c r="L3" s="165"/>
      <c r="M3" s="52">
        <f>BE4</f>
        <v>46082</v>
      </c>
      <c r="N3" s="52">
        <f t="shared" ref="N3:AQ3" si="0">IF(M3=$BE$6,"",IF(M3="","",M3+1))</f>
        <v>46083</v>
      </c>
      <c r="O3" s="52">
        <f t="shared" si="0"/>
        <v>46084</v>
      </c>
      <c r="P3" s="52">
        <f t="shared" si="0"/>
        <v>46085</v>
      </c>
      <c r="Q3" s="52">
        <f t="shared" si="0"/>
        <v>46086</v>
      </c>
      <c r="R3" s="52">
        <f t="shared" si="0"/>
        <v>46087</v>
      </c>
      <c r="S3" s="52">
        <f t="shared" si="0"/>
        <v>46088</v>
      </c>
      <c r="T3" s="52">
        <f t="shared" si="0"/>
        <v>46089</v>
      </c>
      <c r="U3" s="52">
        <f t="shared" si="0"/>
        <v>46090</v>
      </c>
      <c r="V3" s="52">
        <f t="shared" si="0"/>
        <v>46091</v>
      </c>
      <c r="W3" s="52">
        <f t="shared" si="0"/>
        <v>46092</v>
      </c>
      <c r="X3" s="52">
        <f t="shared" si="0"/>
        <v>46093</v>
      </c>
      <c r="Y3" s="52">
        <f t="shared" si="0"/>
        <v>46094</v>
      </c>
      <c r="Z3" s="52">
        <f t="shared" si="0"/>
        <v>46095</v>
      </c>
      <c r="AA3" s="52">
        <f t="shared" si="0"/>
        <v>46096</v>
      </c>
      <c r="AB3" s="52">
        <f t="shared" si="0"/>
        <v>46097</v>
      </c>
      <c r="AC3" s="52">
        <f t="shared" si="0"/>
        <v>46098</v>
      </c>
      <c r="AD3" s="52">
        <f t="shared" si="0"/>
        <v>46099</v>
      </c>
      <c r="AE3" s="52">
        <f t="shared" si="0"/>
        <v>46100</v>
      </c>
      <c r="AF3" s="52">
        <f t="shared" si="0"/>
        <v>46101</v>
      </c>
      <c r="AG3" s="52">
        <f t="shared" si="0"/>
        <v>46102</v>
      </c>
      <c r="AH3" s="52">
        <f t="shared" si="0"/>
        <v>46103</v>
      </c>
      <c r="AI3" s="52">
        <f t="shared" si="0"/>
        <v>46104</v>
      </c>
      <c r="AJ3" s="52">
        <f t="shared" si="0"/>
        <v>46105</v>
      </c>
      <c r="AK3" s="52">
        <f t="shared" si="0"/>
        <v>46106</v>
      </c>
      <c r="AL3" s="52">
        <f t="shared" si="0"/>
        <v>46107</v>
      </c>
      <c r="AM3" s="52">
        <f t="shared" si="0"/>
        <v>46108</v>
      </c>
      <c r="AN3" s="52">
        <f t="shared" si="0"/>
        <v>46109</v>
      </c>
      <c r="AO3" s="52">
        <f t="shared" si="0"/>
        <v>46110</v>
      </c>
      <c r="AP3" s="52">
        <f t="shared" si="0"/>
        <v>46111</v>
      </c>
      <c r="AQ3" s="52">
        <f t="shared" si="0"/>
        <v>46112</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日</v>
      </c>
      <c r="N4" s="153" t="str">
        <f t="shared" si="1"/>
        <v>月</v>
      </c>
      <c r="O4" s="153" t="str">
        <f t="shared" si="1"/>
        <v>火</v>
      </c>
      <c r="P4" s="153" t="str">
        <f t="shared" si="1"/>
        <v>水</v>
      </c>
      <c r="Q4" s="153" t="str">
        <f t="shared" si="1"/>
        <v>木</v>
      </c>
      <c r="R4" s="153" t="str">
        <f t="shared" si="1"/>
        <v>金</v>
      </c>
      <c r="S4" s="153" t="str">
        <f t="shared" si="1"/>
        <v>土</v>
      </c>
      <c r="T4" s="153" t="str">
        <f t="shared" si="1"/>
        <v>日</v>
      </c>
      <c r="U4" s="153" t="str">
        <f t="shared" si="1"/>
        <v>月</v>
      </c>
      <c r="V4" s="153" t="str">
        <f t="shared" si="1"/>
        <v>火</v>
      </c>
      <c r="W4" s="153" t="str">
        <f t="shared" si="1"/>
        <v>水</v>
      </c>
      <c r="X4" s="153" t="str">
        <f t="shared" si="1"/>
        <v>木</v>
      </c>
      <c r="Y4" s="153" t="str">
        <f t="shared" si="1"/>
        <v>金</v>
      </c>
      <c r="Z4" s="153" t="str">
        <f t="shared" si="1"/>
        <v>土</v>
      </c>
      <c r="AA4" s="153" t="str">
        <f t="shared" si="1"/>
        <v>日</v>
      </c>
      <c r="AB4" s="153" t="str">
        <f t="shared" si="1"/>
        <v>月</v>
      </c>
      <c r="AC4" s="153" t="str">
        <f t="shared" si="1"/>
        <v>火</v>
      </c>
      <c r="AD4" s="153" t="str">
        <f t="shared" si="1"/>
        <v>水</v>
      </c>
      <c r="AE4" s="153" t="str">
        <f t="shared" si="1"/>
        <v>木</v>
      </c>
      <c r="AF4" s="153" t="str">
        <f t="shared" si="1"/>
        <v>金</v>
      </c>
      <c r="AG4" s="153" t="str">
        <f t="shared" si="1"/>
        <v>土</v>
      </c>
      <c r="AH4" s="153" t="str">
        <f t="shared" si="1"/>
        <v>日</v>
      </c>
      <c r="AI4" s="153" t="str">
        <f t="shared" si="1"/>
        <v>月</v>
      </c>
      <c r="AJ4" s="153" t="str">
        <f t="shared" si="1"/>
        <v>火</v>
      </c>
      <c r="AK4" s="153" t="str">
        <f t="shared" si="1"/>
        <v>水</v>
      </c>
      <c r="AL4" s="153" t="str">
        <f t="shared" si="1"/>
        <v>木</v>
      </c>
      <c r="AM4" s="153" t="str">
        <f t="shared" si="1"/>
        <v>金</v>
      </c>
      <c r="AN4" s="153" t="str">
        <f t="shared" si="1"/>
        <v>土</v>
      </c>
      <c r="AO4" s="153" t="str">
        <f t="shared" si="1"/>
        <v>日</v>
      </c>
      <c r="AP4" s="153" t="str">
        <f t="shared" si="1"/>
        <v>月</v>
      </c>
      <c r="AQ4" s="153" t="str">
        <f t="shared" si="1"/>
        <v>火</v>
      </c>
      <c r="AR4" s="153" t="s">
        <v>318</v>
      </c>
      <c r="AS4" s="153" t="s">
        <v>319</v>
      </c>
      <c r="AT4" s="153" t="s">
        <v>320</v>
      </c>
      <c r="AU4" s="153" t="s">
        <v>321</v>
      </c>
      <c r="AV4" s="165"/>
      <c r="AW4" s="171"/>
      <c r="AX4" s="165"/>
      <c r="AY4" s="165"/>
      <c r="AZ4" s="165"/>
      <c r="BA4" s="165"/>
      <c r="BB4" s="164"/>
      <c r="BC4" s="167"/>
      <c r="BD4" s="164"/>
      <c r="BE4" s="62">
        <f>DATE(P1,T1,1)</f>
        <v>46082</v>
      </c>
      <c r="BF4" s="55"/>
    </row>
    <row r="5" spans="1:58" s="54" customFormat="1" ht="24" customHeight="1" x14ac:dyDescent="0.45">
      <c r="A5" s="72">
        <v>1</v>
      </c>
      <c r="B5" s="57" t="s">
        <v>452</v>
      </c>
      <c r="C5" s="57" t="s">
        <v>453</v>
      </c>
      <c r="D5" s="57" t="s">
        <v>454</v>
      </c>
      <c r="E5" s="57" t="s">
        <v>455</v>
      </c>
      <c r="F5" s="57"/>
      <c r="G5" s="57"/>
      <c r="H5" s="57"/>
      <c r="I5" s="57"/>
      <c r="J5" s="57">
        <f t="shared" ref="J5" si="2">IF(COUNTA(C5:I5)=0,"",COUNTA(C5:I5))</f>
        <v>3</v>
      </c>
      <c r="K5" s="57"/>
      <c r="L5" s="57"/>
      <c r="M5" s="56" t="str">
        <f>IF(M$4="水","昼",IF(M$4="木","○",IF(M$4="金","お","")))</f>
        <v/>
      </c>
      <c r="N5" s="56" t="str">
        <f t="shared" ref="N5:AQ5" si="3">IF(N$4="水","昼",IF(N$4="木","○",IF(N$4="金","お","")))</f>
        <v/>
      </c>
      <c r="O5" s="56" t="str">
        <f t="shared" si="3"/>
        <v/>
      </c>
      <c r="P5" s="58" t="str">
        <f t="shared" si="3"/>
        <v>昼</v>
      </c>
      <c r="Q5" s="56" t="str">
        <f t="shared" si="3"/>
        <v>○</v>
      </c>
      <c r="R5" s="56" t="str">
        <f t="shared" si="3"/>
        <v>お</v>
      </c>
      <c r="S5" s="56" t="str">
        <f t="shared" si="3"/>
        <v/>
      </c>
      <c r="T5" s="56" t="str">
        <f t="shared" si="3"/>
        <v/>
      </c>
      <c r="U5" s="56" t="str">
        <f t="shared" si="3"/>
        <v/>
      </c>
      <c r="V5" s="56" t="str">
        <f t="shared" si="3"/>
        <v/>
      </c>
      <c r="W5" s="58" t="str">
        <f t="shared" si="3"/>
        <v>昼</v>
      </c>
      <c r="X5" s="56" t="str">
        <f t="shared" si="3"/>
        <v>○</v>
      </c>
      <c r="Y5" s="56" t="str">
        <f t="shared" si="3"/>
        <v>お</v>
      </c>
      <c r="Z5" s="56" t="str">
        <f t="shared" si="3"/>
        <v/>
      </c>
      <c r="AA5" s="56" t="str">
        <f t="shared" si="3"/>
        <v/>
      </c>
      <c r="AB5" s="56" t="str">
        <f t="shared" si="3"/>
        <v/>
      </c>
      <c r="AC5" s="56" t="str">
        <f t="shared" si="3"/>
        <v/>
      </c>
      <c r="AD5" s="58" t="str">
        <f t="shared" si="3"/>
        <v>昼</v>
      </c>
      <c r="AE5" s="56" t="str">
        <f t="shared" si="3"/>
        <v>○</v>
      </c>
      <c r="AF5" s="56" t="str">
        <f t="shared" si="3"/>
        <v>お</v>
      </c>
      <c r="AG5" s="56" t="str">
        <f t="shared" si="3"/>
        <v/>
      </c>
      <c r="AH5" s="56" t="str">
        <f t="shared" si="3"/>
        <v/>
      </c>
      <c r="AI5" s="56" t="str">
        <f t="shared" si="3"/>
        <v/>
      </c>
      <c r="AJ5" s="56" t="str">
        <f t="shared" si="3"/>
        <v/>
      </c>
      <c r="AK5" s="58" t="str">
        <f t="shared" si="3"/>
        <v>昼</v>
      </c>
      <c r="AL5" s="56" t="str">
        <f t="shared" si="3"/>
        <v>○</v>
      </c>
      <c r="AM5" s="56" t="str">
        <f t="shared" si="3"/>
        <v>お</v>
      </c>
      <c r="AN5" s="56" t="str">
        <f t="shared" si="3"/>
        <v/>
      </c>
      <c r="AO5" s="56" t="str">
        <f t="shared" si="3"/>
        <v/>
      </c>
      <c r="AP5" s="56" t="str">
        <f t="shared" si="3"/>
        <v/>
      </c>
      <c r="AQ5" s="56" t="str">
        <f t="shared" si="3"/>
        <v/>
      </c>
      <c r="AR5" s="56">
        <f t="shared" ref="AR5:AR27" si="4">IF(COUNTIF($M5:$AQ5,"昼")=0,"",COUNTIF($M5:$AQ5,"昼"))</f>
        <v>4</v>
      </c>
      <c r="AS5" s="56">
        <f t="shared" ref="AS5:AS27" si="5">IF(COUNTIF($M5:$AQ5,"○")=0,"",COUNTIF($M5:$AQ5,"○"))</f>
        <v>4</v>
      </c>
      <c r="AT5" s="56">
        <f t="shared" ref="AT5:AT27" si="6">IF(COUNTIF($M5:$AQ5,"お")=0,"",COUNTIF($M5:$AQ5,"お"))</f>
        <v>4</v>
      </c>
      <c r="AU5" s="56" t="str">
        <f t="shared" ref="AU5:AU27" si="7">IF(COUNTIF($M5:$AQ5,"夕")=0,"",COUNTIF($M5:$AQ5,"夕"))</f>
        <v/>
      </c>
      <c r="AV5" s="56">
        <f t="shared" ref="AV5" si="8">IF(COUNTA(M5:AQ5)=0,"",SUM(AR5:AU5))</f>
        <v>12</v>
      </c>
      <c r="AW5" s="56" t="s">
        <v>456</v>
      </c>
      <c r="AX5" s="56" t="s">
        <v>457</v>
      </c>
      <c r="AY5" s="59">
        <v>7058129602</v>
      </c>
      <c r="AZ5" s="56" t="s">
        <v>458</v>
      </c>
      <c r="BA5" s="59">
        <v>9037964935</v>
      </c>
      <c r="BB5" s="66" t="s">
        <v>326</v>
      </c>
      <c r="BC5" s="56">
        <v>4</v>
      </c>
      <c r="BD5" s="88">
        <v>45626</v>
      </c>
      <c r="BE5" s="61" t="s">
        <v>327</v>
      </c>
      <c r="BF5" s="55" t="s">
        <v>328</v>
      </c>
    </row>
    <row r="6" spans="1:58" s="54" customFormat="1" ht="24.6" customHeight="1" x14ac:dyDescent="0.45">
      <c r="A6" s="72">
        <v>2</v>
      </c>
      <c r="B6" s="57" t="s">
        <v>459</v>
      </c>
      <c r="C6" s="57"/>
      <c r="D6" s="57"/>
      <c r="E6" s="57"/>
      <c r="F6" s="57"/>
      <c r="G6" s="57"/>
      <c r="H6" s="57"/>
      <c r="I6" s="57"/>
      <c r="J6" s="57"/>
      <c r="K6" s="57"/>
      <c r="L6" s="57"/>
      <c r="M6" s="56"/>
      <c r="N6" s="56"/>
      <c r="O6" s="56"/>
      <c r="P6" s="56"/>
      <c r="Q6" s="56"/>
      <c r="R6" s="56"/>
      <c r="S6" s="56"/>
      <c r="T6" s="56"/>
      <c r="U6" s="56"/>
      <c r="V6" s="56"/>
      <c r="W6" s="56" t="s">
        <v>352</v>
      </c>
      <c r="X6" s="106" t="s">
        <v>482</v>
      </c>
      <c r="Y6" s="56"/>
      <c r="Z6" s="72"/>
      <c r="AA6" s="72"/>
      <c r="AB6" s="72"/>
      <c r="AC6" s="72"/>
      <c r="AD6" s="72"/>
      <c r="AE6" s="72"/>
      <c r="AF6" s="72"/>
      <c r="AG6" s="72"/>
      <c r="AH6" s="72"/>
      <c r="AI6" s="72"/>
      <c r="AJ6" s="72"/>
      <c r="AK6" s="72"/>
      <c r="AL6" s="72"/>
      <c r="AM6" s="72"/>
      <c r="AN6" s="72"/>
      <c r="AO6" s="72"/>
      <c r="AP6" s="72"/>
      <c r="AQ6" s="56"/>
      <c r="AR6" s="56">
        <f t="shared" si="4"/>
        <v>1</v>
      </c>
      <c r="AS6" s="56" t="str">
        <f t="shared" si="5"/>
        <v/>
      </c>
      <c r="AT6" s="56" t="str">
        <f t="shared" si="6"/>
        <v/>
      </c>
      <c r="AU6" s="56" t="str">
        <f t="shared" si="7"/>
        <v/>
      </c>
      <c r="AV6" s="56">
        <f t="shared" ref="AV6:AV27" si="9">IF(COUNTA(M6:AQ6)=0,"",SUM(AR6:AU6))</f>
        <v>1</v>
      </c>
      <c r="AW6" s="114">
        <v>102</v>
      </c>
      <c r="AX6" s="56" t="s">
        <v>460</v>
      </c>
      <c r="AY6" s="59">
        <v>8098515418</v>
      </c>
      <c r="AZ6" s="56" t="s">
        <v>461</v>
      </c>
      <c r="BA6" s="59">
        <v>8064847234</v>
      </c>
      <c r="BB6" s="66" t="s">
        <v>326</v>
      </c>
      <c r="BC6" s="56">
        <v>4</v>
      </c>
      <c r="BD6" s="88">
        <v>46325</v>
      </c>
      <c r="BE6" s="62">
        <f>DATE(P1,T1+1,1)-1</f>
        <v>46112</v>
      </c>
      <c r="BF6" s="55" t="s">
        <v>333</v>
      </c>
    </row>
    <row r="7" spans="1:58" s="54" customFormat="1" ht="24.6" customHeight="1" x14ac:dyDescent="0.45">
      <c r="A7" s="72">
        <v>3</v>
      </c>
      <c r="B7" s="57" t="s">
        <v>462</v>
      </c>
      <c r="C7" s="57"/>
      <c r="D7" s="57"/>
      <c r="E7" s="57"/>
      <c r="F7" s="57"/>
      <c r="G7" s="57"/>
      <c r="H7" s="57"/>
      <c r="I7" s="57"/>
      <c r="J7" s="57"/>
      <c r="K7" s="57"/>
      <c r="L7" s="57"/>
      <c r="M7" s="56" t="s">
        <v>319</v>
      </c>
      <c r="N7" s="76" t="s">
        <v>319</v>
      </c>
      <c r="O7" s="72" t="s">
        <v>319</v>
      </c>
      <c r="P7" s="72" t="s">
        <v>319</v>
      </c>
      <c r="Q7" s="76" t="s">
        <v>319</v>
      </c>
      <c r="R7" s="72" t="s">
        <v>319</v>
      </c>
      <c r="S7" s="72" t="s">
        <v>319</v>
      </c>
      <c r="T7" s="56" t="s">
        <v>319</v>
      </c>
      <c r="U7" s="56" t="s">
        <v>319</v>
      </c>
      <c r="V7" s="76" t="s">
        <v>319</v>
      </c>
      <c r="W7" s="56" t="s">
        <v>319</v>
      </c>
      <c r="X7" s="56" t="s">
        <v>319</v>
      </c>
      <c r="Y7" s="56" t="s">
        <v>321</v>
      </c>
      <c r="Z7" s="56"/>
      <c r="AA7" s="56"/>
      <c r="AB7" s="56"/>
      <c r="AC7" s="56"/>
      <c r="AD7" s="56"/>
      <c r="AE7" s="56"/>
      <c r="AF7" s="56"/>
      <c r="AG7" s="56"/>
      <c r="AH7" s="56"/>
      <c r="AI7" s="56"/>
      <c r="AJ7" s="56"/>
      <c r="AK7" s="56"/>
      <c r="AL7" s="56"/>
      <c r="AM7" s="56"/>
      <c r="AN7" s="56"/>
      <c r="AO7" s="56"/>
      <c r="AP7" s="56"/>
      <c r="AQ7" s="56"/>
      <c r="AR7" s="56" t="str">
        <f t="shared" si="4"/>
        <v/>
      </c>
      <c r="AS7" s="56">
        <f t="shared" si="5"/>
        <v>12</v>
      </c>
      <c r="AT7" s="56" t="str">
        <f t="shared" si="6"/>
        <v/>
      </c>
      <c r="AU7" s="56">
        <f t="shared" si="7"/>
        <v>1</v>
      </c>
      <c r="AV7" s="56">
        <f t="shared" si="9"/>
        <v>13</v>
      </c>
      <c r="AW7" s="114">
        <v>205</v>
      </c>
      <c r="AX7" s="56" t="s">
        <v>463</v>
      </c>
      <c r="AY7" s="59">
        <v>9097872663</v>
      </c>
      <c r="AZ7" s="56" t="s">
        <v>346</v>
      </c>
      <c r="BA7" s="59">
        <v>8033750537</v>
      </c>
      <c r="BB7" s="66" t="s">
        <v>347</v>
      </c>
      <c r="BC7" s="56">
        <v>5</v>
      </c>
      <c r="BD7" s="88"/>
      <c r="BE7" s="61"/>
      <c r="BF7" s="55" t="s">
        <v>338</v>
      </c>
    </row>
    <row r="8" spans="1:58" s="54" customFormat="1" ht="24.6" customHeight="1" x14ac:dyDescent="0.45">
      <c r="A8" s="72">
        <v>4</v>
      </c>
      <c r="B8" s="57" t="s">
        <v>322</v>
      </c>
      <c r="C8" s="57"/>
      <c r="D8" s="57"/>
      <c r="E8" s="57"/>
      <c r="F8" s="57"/>
      <c r="G8" s="57"/>
      <c r="H8" s="57"/>
      <c r="I8" s="57"/>
      <c r="J8" s="57"/>
      <c r="K8" s="57"/>
      <c r="L8" s="57"/>
      <c r="M8" s="56" t="str">
        <f>IF(M$4="土","昼",IF(M$4="日","○",IF(M$4="月","夕","")))</f>
        <v>○</v>
      </c>
      <c r="N8" s="58" t="str">
        <f t="shared" ref="N8:AQ8" si="10">IF(N$4="土","昼",IF(N$4="日","○",IF(N$4="月","夕","")))</f>
        <v>夕</v>
      </c>
      <c r="O8" s="56" t="str">
        <f t="shared" si="10"/>
        <v/>
      </c>
      <c r="P8" s="56" t="str">
        <f t="shared" si="10"/>
        <v/>
      </c>
      <c r="Q8" s="56" t="str">
        <f t="shared" si="10"/>
        <v/>
      </c>
      <c r="R8" s="56" t="str">
        <f t="shared" si="10"/>
        <v/>
      </c>
      <c r="S8" s="58" t="str">
        <f t="shared" si="10"/>
        <v>昼</v>
      </c>
      <c r="T8" s="56" t="str">
        <f t="shared" si="10"/>
        <v>○</v>
      </c>
      <c r="U8" s="58" t="str">
        <f t="shared" si="10"/>
        <v>夕</v>
      </c>
      <c r="V8" s="56" t="str">
        <f t="shared" si="10"/>
        <v/>
      </c>
      <c r="W8" s="56" t="str">
        <f t="shared" si="10"/>
        <v/>
      </c>
      <c r="X8" s="56" t="str">
        <f t="shared" si="10"/>
        <v/>
      </c>
      <c r="Y8" s="56" t="str">
        <f t="shared" si="10"/>
        <v/>
      </c>
      <c r="Z8" s="58" t="str">
        <f t="shared" si="10"/>
        <v>昼</v>
      </c>
      <c r="AA8" s="56" t="str">
        <f t="shared" si="10"/>
        <v>○</v>
      </c>
      <c r="AB8" s="58" t="str">
        <f t="shared" si="10"/>
        <v>夕</v>
      </c>
      <c r="AC8" s="56" t="str">
        <f t="shared" si="10"/>
        <v/>
      </c>
      <c r="AD8" s="56" t="str">
        <f t="shared" si="10"/>
        <v/>
      </c>
      <c r="AE8" s="56" t="str">
        <f t="shared" si="10"/>
        <v/>
      </c>
      <c r="AF8" s="56" t="str">
        <f t="shared" si="10"/>
        <v/>
      </c>
      <c r="AG8" s="58" t="str">
        <f t="shared" si="10"/>
        <v>昼</v>
      </c>
      <c r="AH8" s="56" t="str">
        <f t="shared" si="10"/>
        <v>○</v>
      </c>
      <c r="AI8" s="58" t="str">
        <f t="shared" si="10"/>
        <v>夕</v>
      </c>
      <c r="AJ8" s="56" t="str">
        <f t="shared" si="10"/>
        <v/>
      </c>
      <c r="AK8" s="56" t="str">
        <f t="shared" si="10"/>
        <v/>
      </c>
      <c r="AL8" s="56" t="str">
        <f t="shared" si="10"/>
        <v/>
      </c>
      <c r="AM8" s="56" t="str">
        <f t="shared" si="10"/>
        <v/>
      </c>
      <c r="AN8" s="58" t="str">
        <f t="shared" si="10"/>
        <v>昼</v>
      </c>
      <c r="AO8" s="56" t="str">
        <f t="shared" si="10"/>
        <v>○</v>
      </c>
      <c r="AP8" s="58" t="str">
        <f t="shared" si="10"/>
        <v>夕</v>
      </c>
      <c r="AQ8" s="56" t="str">
        <f t="shared" si="10"/>
        <v/>
      </c>
      <c r="AR8" s="56">
        <f t="shared" si="4"/>
        <v>4</v>
      </c>
      <c r="AS8" s="56">
        <f t="shared" si="5"/>
        <v>5</v>
      </c>
      <c r="AT8" s="56" t="str">
        <f t="shared" si="6"/>
        <v/>
      </c>
      <c r="AU8" s="56">
        <f t="shared" si="7"/>
        <v>5</v>
      </c>
      <c r="AV8" s="56">
        <f t="shared" si="9"/>
        <v>14</v>
      </c>
      <c r="AW8" s="56">
        <v>223</v>
      </c>
      <c r="AX8" s="59" t="s">
        <v>324</v>
      </c>
      <c r="AY8" s="59">
        <v>8025513822</v>
      </c>
      <c r="AZ8" s="59" t="s">
        <v>325</v>
      </c>
      <c r="BA8" s="59">
        <v>8027251721</v>
      </c>
      <c r="BB8" s="66" t="s">
        <v>326</v>
      </c>
      <c r="BC8" s="56">
        <v>3</v>
      </c>
      <c r="BD8" s="88"/>
      <c r="BE8" s="53"/>
      <c r="BF8" s="55"/>
    </row>
    <row r="9" spans="1:58" s="54" customFormat="1" ht="24.6" customHeight="1" x14ac:dyDescent="0.45">
      <c r="A9" s="72">
        <v>5</v>
      </c>
      <c r="B9" s="57" t="s">
        <v>329</v>
      </c>
      <c r="C9" s="57"/>
      <c r="D9" s="57"/>
      <c r="E9" s="57"/>
      <c r="F9" s="57"/>
      <c r="G9" s="57"/>
      <c r="H9" s="57"/>
      <c r="I9" s="57"/>
      <c r="J9" s="57"/>
      <c r="K9" s="57"/>
      <c r="L9" s="57"/>
      <c r="M9" s="56"/>
      <c r="N9" s="56" t="str">
        <f t="shared" ref="N9:AQ9" si="11">IF(N$4="土","昼",IF(N$4="日","夕",""))</f>
        <v/>
      </c>
      <c r="O9" s="56" t="str">
        <f t="shared" si="11"/>
        <v/>
      </c>
      <c r="P9" s="56" t="str">
        <f t="shared" si="11"/>
        <v/>
      </c>
      <c r="Q9" s="56" t="str">
        <f t="shared" si="11"/>
        <v/>
      </c>
      <c r="R9" s="56" t="str">
        <f t="shared" si="11"/>
        <v/>
      </c>
      <c r="S9" s="58" t="str">
        <f t="shared" si="11"/>
        <v>昼</v>
      </c>
      <c r="T9" s="58" t="str">
        <f t="shared" si="11"/>
        <v>夕</v>
      </c>
      <c r="U9" s="56" t="str">
        <f t="shared" si="11"/>
        <v/>
      </c>
      <c r="V9" s="56" t="str">
        <f t="shared" si="11"/>
        <v/>
      </c>
      <c r="W9" s="56" t="str">
        <f t="shared" si="11"/>
        <v/>
      </c>
      <c r="X9" s="56" t="str">
        <f t="shared" si="11"/>
        <v/>
      </c>
      <c r="Y9" s="56" t="str">
        <f t="shared" si="11"/>
        <v/>
      </c>
      <c r="Z9" s="58" t="str">
        <f t="shared" si="11"/>
        <v>昼</v>
      </c>
      <c r="AA9" s="58" t="str">
        <f t="shared" si="11"/>
        <v>夕</v>
      </c>
      <c r="AB9" s="56" t="str">
        <f t="shared" si="11"/>
        <v/>
      </c>
      <c r="AC9" s="56" t="str">
        <f t="shared" si="11"/>
        <v/>
      </c>
      <c r="AD9" s="56" t="str">
        <f t="shared" si="11"/>
        <v/>
      </c>
      <c r="AE9" s="56" t="str">
        <f t="shared" si="11"/>
        <v/>
      </c>
      <c r="AF9" s="56" t="str">
        <f t="shared" si="11"/>
        <v/>
      </c>
      <c r="AG9" s="58" t="str">
        <f t="shared" si="11"/>
        <v>昼</v>
      </c>
      <c r="AH9" s="58" t="str">
        <f t="shared" si="11"/>
        <v>夕</v>
      </c>
      <c r="AI9" s="56" t="str">
        <f t="shared" si="11"/>
        <v/>
      </c>
      <c r="AJ9" s="56" t="str">
        <f t="shared" si="11"/>
        <v/>
      </c>
      <c r="AK9" s="56" t="str">
        <f t="shared" si="11"/>
        <v/>
      </c>
      <c r="AL9" s="56" t="str">
        <f t="shared" si="11"/>
        <v/>
      </c>
      <c r="AM9" s="56" t="str">
        <f t="shared" si="11"/>
        <v/>
      </c>
      <c r="AN9" s="58" t="str">
        <f t="shared" si="11"/>
        <v>昼</v>
      </c>
      <c r="AO9" s="58" t="str">
        <f t="shared" si="11"/>
        <v>夕</v>
      </c>
      <c r="AP9" s="56" t="str">
        <f t="shared" si="11"/>
        <v/>
      </c>
      <c r="AQ9" s="56" t="str">
        <f t="shared" si="11"/>
        <v/>
      </c>
      <c r="AR9" s="56">
        <f t="shared" si="4"/>
        <v>4</v>
      </c>
      <c r="AS9" s="56" t="str">
        <f t="shared" si="5"/>
        <v/>
      </c>
      <c r="AT9" s="56" t="str">
        <f t="shared" si="6"/>
        <v/>
      </c>
      <c r="AU9" s="56">
        <f t="shared" si="7"/>
        <v>4</v>
      </c>
      <c r="AV9" s="56">
        <f t="shared" si="9"/>
        <v>8</v>
      </c>
      <c r="AW9" s="56" t="s">
        <v>456</v>
      </c>
      <c r="AX9" s="59" t="s">
        <v>331</v>
      </c>
      <c r="AY9" s="59">
        <v>9086202017</v>
      </c>
      <c r="AZ9" s="59" t="s">
        <v>332</v>
      </c>
      <c r="BA9" s="59">
        <v>9068675997</v>
      </c>
      <c r="BB9" s="66" t="s">
        <v>326</v>
      </c>
      <c r="BC9" s="56">
        <v>4</v>
      </c>
      <c r="BD9" s="88"/>
      <c r="BE9" s="53"/>
      <c r="BF9" s="55"/>
    </row>
    <row r="10" spans="1:58" s="54" customFormat="1" ht="24.6" customHeight="1" x14ac:dyDescent="0.45">
      <c r="A10" s="72">
        <v>6</v>
      </c>
      <c r="B10" s="57" t="s">
        <v>334</v>
      </c>
      <c r="C10" s="57"/>
      <c r="D10" s="57"/>
      <c r="E10" s="57"/>
      <c r="F10" s="57"/>
      <c r="G10" s="57"/>
      <c r="H10" s="57"/>
      <c r="I10" s="57"/>
      <c r="J10" s="57"/>
      <c r="K10" s="57"/>
      <c r="L10" s="57"/>
      <c r="M10" s="58" t="str">
        <f>IF(M$4="日","昼",IF(M$4="月","○",IF(M$4="火","お","")))</f>
        <v>昼</v>
      </c>
      <c r="N10" s="56" t="str">
        <f t="shared" ref="N10:AQ10" si="12">IF(N$4="日","昼",IF(N$4="月","○",IF(N$4="火","お","")))</f>
        <v>○</v>
      </c>
      <c r="O10" s="56" t="str">
        <f t="shared" si="12"/>
        <v>お</v>
      </c>
      <c r="P10" s="56" t="str">
        <f t="shared" si="12"/>
        <v/>
      </c>
      <c r="Q10" s="56" t="str">
        <f t="shared" si="12"/>
        <v/>
      </c>
      <c r="R10" s="56" t="str">
        <f t="shared" si="12"/>
        <v/>
      </c>
      <c r="S10" s="56" t="str">
        <f t="shared" si="12"/>
        <v/>
      </c>
      <c r="T10" s="58" t="str">
        <f t="shared" si="12"/>
        <v>昼</v>
      </c>
      <c r="U10" s="56" t="str">
        <f t="shared" si="12"/>
        <v>○</v>
      </c>
      <c r="V10" s="56" t="str">
        <f t="shared" si="12"/>
        <v>お</v>
      </c>
      <c r="W10" s="56" t="str">
        <f t="shared" si="12"/>
        <v/>
      </c>
      <c r="X10" s="56" t="str">
        <f t="shared" si="12"/>
        <v/>
      </c>
      <c r="Y10" s="56" t="str">
        <f t="shared" si="12"/>
        <v/>
      </c>
      <c r="Z10" s="56" t="str">
        <f t="shared" si="12"/>
        <v/>
      </c>
      <c r="AA10" s="58" t="str">
        <f t="shared" si="12"/>
        <v>昼</v>
      </c>
      <c r="AB10" s="56" t="s">
        <v>320</v>
      </c>
      <c r="AC10" s="56"/>
      <c r="AD10" s="56"/>
      <c r="AE10" s="56" t="str">
        <f t="shared" si="12"/>
        <v/>
      </c>
      <c r="AF10" s="56" t="str">
        <f t="shared" si="12"/>
        <v/>
      </c>
      <c r="AG10" s="56" t="str">
        <f t="shared" si="12"/>
        <v/>
      </c>
      <c r="AH10" s="58" t="str">
        <f t="shared" si="12"/>
        <v>昼</v>
      </c>
      <c r="AI10" s="56" t="str">
        <f t="shared" si="12"/>
        <v>○</v>
      </c>
      <c r="AJ10" s="56" t="str">
        <f t="shared" si="12"/>
        <v>お</v>
      </c>
      <c r="AK10" s="56" t="str">
        <f t="shared" si="12"/>
        <v/>
      </c>
      <c r="AL10" s="56" t="str">
        <f t="shared" si="12"/>
        <v/>
      </c>
      <c r="AM10" s="56" t="str">
        <f t="shared" si="12"/>
        <v/>
      </c>
      <c r="AN10" s="56" t="str">
        <f t="shared" si="12"/>
        <v/>
      </c>
      <c r="AO10" s="58" t="str">
        <f t="shared" si="12"/>
        <v>昼</v>
      </c>
      <c r="AP10" s="56" t="str">
        <f t="shared" si="12"/>
        <v>○</v>
      </c>
      <c r="AQ10" s="56" t="str">
        <f t="shared" si="12"/>
        <v>お</v>
      </c>
      <c r="AR10" s="56">
        <f t="shared" si="4"/>
        <v>5</v>
      </c>
      <c r="AS10" s="56">
        <f t="shared" si="5"/>
        <v>4</v>
      </c>
      <c r="AT10" s="56">
        <f t="shared" si="6"/>
        <v>5</v>
      </c>
      <c r="AU10" s="56" t="str">
        <f t="shared" si="7"/>
        <v/>
      </c>
      <c r="AV10" s="56">
        <f t="shared" si="9"/>
        <v>14</v>
      </c>
      <c r="AW10" s="56">
        <v>223</v>
      </c>
      <c r="AX10" s="56" t="s">
        <v>335</v>
      </c>
      <c r="AY10" s="59">
        <v>8039457095</v>
      </c>
      <c r="AZ10" s="56" t="s">
        <v>336</v>
      </c>
      <c r="BA10" s="59">
        <v>8039162381</v>
      </c>
      <c r="BB10" s="66" t="s">
        <v>337</v>
      </c>
      <c r="BC10" s="56">
        <v>3</v>
      </c>
      <c r="BD10" s="88"/>
      <c r="BE10" s="53"/>
      <c r="BF10" s="55"/>
    </row>
    <row r="11" spans="1:58" s="54" customFormat="1" ht="24.6" customHeight="1" x14ac:dyDescent="0.45">
      <c r="A11" s="72">
        <v>7</v>
      </c>
      <c r="B11" s="57" t="s">
        <v>464</v>
      </c>
      <c r="C11" s="57"/>
      <c r="D11" s="57"/>
      <c r="E11" s="57"/>
      <c r="F11" s="57"/>
      <c r="G11" s="57"/>
      <c r="H11" s="57"/>
      <c r="I11" s="57"/>
      <c r="J11" s="57"/>
      <c r="K11" s="57"/>
      <c r="L11" s="57"/>
      <c r="M11" s="56" t="s">
        <v>319</v>
      </c>
      <c r="N11" s="56" t="s">
        <v>319</v>
      </c>
      <c r="O11" s="76" t="s">
        <v>319</v>
      </c>
      <c r="P11" s="72" t="s">
        <v>319</v>
      </c>
      <c r="Q11" s="56" t="s">
        <v>319</v>
      </c>
      <c r="R11" s="56" t="s">
        <v>319</v>
      </c>
      <c r="S11" s="76" t="s">
        <v>319</v>
      </c>
      <c r="T11" s="56" t="s">
        <v>319</v>
      </c>
      <c r="U11" s="56" t="s">
        <v>319</v>
      </c>
      <c r="V11" s="56" t="str">
        <f t="shared" ref="V11:Y11" si="13">IF(V$4="月","昼",IF(V$4="火","○",IF(V$4="水","お","")))</f>
        <v>○</v>
      </c>
      <c r="W11" s="58" t="s">
        <v>482</v>
      </c>
      <c r="X11" s="56" t="str">
        <f t="shared" si="13"/>
        <v/>
      </c>
      <c r="Y11" s="56" t="str">
        <f t="shared" si="13"/>
        <v/>
      </c>
      <c r="Z11" s="56"/>
      <c r="AA11" s="56"/>
      <c r="AB11" s="56"/>
      <c r="AC11" s="56"/>
      <c r="AD11" s="56"/>
      <c r="AE11" s="56"/>
      <c r="AF11" s="56"/>
      <c r="AG11" s="56"/>
      <c r="AH11" s="56"/>
      <c r="AI11" s="56"/>
      <c r="AJ11" s="56"/>
      <c r="AK11" s="56"/>
      <c r="AL11" s="56"/>
      <c r="AM11" s="56"/>
      <c r="AN11" s="56"/>
      <c r="AO11" s="56"/>
      <c r="AP11" s="56"/>
      <c r="AQ11" s="56"/>
      <c r="AR11" s="56" t="str">
        <f t="shared" si="4"/>
        <v/>
      </c>
      <c r="AS11" s="56">
        <f t="shared" si="5"/>
        <v>10</v>
      </c>
      <c r="AT11" s="56" t="str">
        <f t="shared" si="6"/>
        <v/>
      </c>
      <c r="AU11" s="56" t="str">
        <f t="shared" si="7"/>
        <v/>
      </c>
      <c r="AV11" s="56">
        <f t="shared" si="9"/>
        <v>10</v>
      </c>
      <c r="AW11" s="56" t="s">
        <v>456</v>
      </c>
      <c r="AX11" s="56" t="s">
        <v>465</v>
      </c>
      <c r="AY11" s="59">
        <v>9019429557</v>
      </c>
      <c r="AZ11" s="56" t="s">
        <v>466</v>
      </c>
      <c r="BA11" s="59">
        <v>9019425653</v>
      </c>
      <c r="BB11" s="66" t="s">
        <v>467</v>
      </c>
      <c r="BC11" s="56">
        <v>2</v>
      </c>
      <c r="BD11" s="88"/>
      <c r="BE11" s="53"/>
      <c r="BF11" s="55"/>
    </row>
    <row r="12" spans="1:58" s="54" customFormat="1" ht="24.6" customHeight="1" x14ac:dyDescent="0.45">
      <c r="A12" s="72">
        <v>8</v>
      </c>
      <c r="B12" s="75" t="s">
        <v>339</v>
      </c>
      <c r="C12" s="57"/>
      <c r="D12" s="57"/>
      <c r="E12" s="57"/>
      <c r="F12" s="57"/>
      <c r="G12" s="57"/>
      <c r="H12" s="57"/>
      <c r="I12" s="57"/>
      <c r="J12" s="57"/>
      <c r="K12" s="57"/>
      <c r="L12" s="57"/>
      <c r="M12" s="56"/>
      <c r="N12" s="56"/>
      <c r="O12" s="56"/>
      <c r="P12" s="56"/>
      <c r="Q12" s="56"/>
      <c r="R12" s="56"/>
      <c r="S12" s="56"/>
      <c r="T12" s="56"/>
      <c r="U12" s="56"/>
      <c r="V12" s="56"/>
      <c r="W12" s="56"/>
      <c r="X12" s="56"/>
      <c r="Y12" s="56"/>
      <c r="Z12" s="56"/>
      <c r="AA12" s="56"/>
      <c r="AB12" s="56" t="s">
        <v>352</v>
      </c>
      <c r="AC12" s="56" t="s">
        <v>320</v>
      </c>
      <c r="AD12" s="56"/>
      <c r="AE12" s="56"/>
      <c r="AF12" s="56"/>
      <c r="AG12" s="56"/>
      <c r="AH12" s="56"/>
      <c r="AI12" s="56"/>
      <c r="AJ12" s="56"/>
      <c r="AL12" s="56"/>
      <c r="AM12" s="56"/>
      <c r="AN12" s="56"/>
      <c r="AO12" s="56"/>
      <c r="AP12" s="56"/>
      <c r="AQ12" s="56"/>
      <c r="AR12" s="56">
        <f t="shared" si="4"/>
        <v>1</v>
      </c>
      <c r="AS12" s="56" t="str">
        <f t="shared" si="5"/>
        <v/>
      </c>
      <c r="AT12" s="56">
        <f t="shared" si="6"/>
        <v>1</v>
      </c>
      <c r="AU12" s="56" t="str">
        <f t="shared" si="7"/>
        <v/>
      </c>
      <c r="AV12" s="56">
        <f t="shared" si="9"/>
        <v>2</v>
      </c>
      <c r="AW12" s="56">
        <v>223</v>
      </c>
      <c r="AX12" s="56" t="s">
        <v>340</v>
      </c>
      <c r="AY12" s="59">
        <v>9037963062</v>
      </c>
      <c r="AZ12" s="56" t="s">
        <v>341</v>
      </c>
      <c r="BA12" s="59">
        <v>9075873470</v>
      </c>
      <c r="BB12" s="56" t="s">
        <v>326</v>
      </c>
      <c r="BC12" s="56">
        <v>3</v>
      </c>
      <c r="BD12" s="88">
        <v>46630</v>
      </c>
      <c r="BE12" s="53"/>
      <c r="BF12" s="55"/>
    </row>
    <row r="13" spans="1:58" s="54" customFormat="1" ht="24.6" customHeight="1" x14ac:dyDescent="0.45">
      <c r="A13" s="72">
        <v>9</v>
      </c>
      <c r="B13" s="57" t="s">
        <v>342</v>
      </c>
      <c r="C13" s="57"/>
      <c r="D13" s="57"/>
      <c r="E13" s="57"/>
      <c r="F13" s="57"/>
      <c r="G13" s="57"/>
      <c r="H13" s="57"/>
      <c r="I13" s="57"/>
      <c r="J13" s="57" t="str">
        <f>IF(COUNTA(C13:I13)=0,"",COUNTA(C13:I13))</f>
        <v/>
      </c>
      <c r="K13" s="57"/>
      <c r="L13" s="57"/>
      <c r="M13" s="56" t="str">
        <f>IF(M$4="火","昼",IF(M$4="水","○",IF(M$4="木","夕","")))</f>
        <v/>
      </c>
      <c r="N13" s="56" t="str">
        <f t="shared" ref="N13:AQ13" si="14">IF(N$4="火","昼",IF(N$4="水","○",IF(N$4="木","夕","")))</f>
        <v/>
      </c>
      <c r="O13" s="56"/>
      <c r="P13" s="58" t="s">
        <v>352</v>
      </c>
      <c r="Q13" s="76" t="s">
        <v>319</v>
      </c>
      <c r="R13" s="56" t="s">
        <v>319</v>
      </c>
      <c r="S13" s="56" t="s">
        <v>319</v>
      </c>
      <c r="T13" s="58" t="s">
        <v>497</v>
      </c>
      <c r="U13" s="56" t="str">
        <f t="shared" si="14"/>
        <v/>
      </c>
      <c r="V13" s="56" t="str">
        <f t="shared" si="14"/>
        <v>昼</v>
      </c>
      <c r="W13" s="56" t="str">
        <f t="shared" si="14"/>
        <v>○</v>
      </c>
      <c r="X13" s="58" t="str">
        <f t="shared" si="14"/>
        <v>夕</v>
      </c>
      <c r="Y13" s="56" t="str">
        <f t="shared" si="14"/>
        <v/>
      </c>
      <c r="Z13" s="56" t="str">
        <f t="shared" si="14"/>
        <v/>
      </c>
      <c r="AA13" s="56" t="str">
        <f t="shared" si="14"/>
        <v/>
      </c>
      <c r="AB13" s="56" t="str">
        <f t="shared" si="14"/>
        <v/>
      </c>
      <c r="AC13" s="56" t="str">
        <f t="shared" si="14"/>
        <v>昼</v>
      </c>
      <c r="AD13" s="56" t="str">
        <f t="shared" si="14"/>
        <v>○</v>
      </c>
      <c r="AE13" s="58" t="str">
        <f t="shared" si="14"/>
        <v>夕</v>
      </c>
      <c r="AF13" s="56" t="str">
        <f t="shared" si="14"/>
        <v/>
      </c>
      <c r="AG13" s="56" t="str">
        <f t="shared" si="14"/>
        <v/>
      </c>
      <c r="AH13" s="56" t="str">
        <f t="shared" si="14"/>
        <v/>
      </c>
      <c r="AI13" s="56" t="s">
        <v>352</v>
      </c>
      <c r="AJ13" s="56" t="s">
        <v>319</v>
      </c>
      <c r="AK13" s="76" t="str">
        <f t="shared" si="14"/>
        <v>○</v>
      </c>
      <c r="AL13" s="58" t="s">
        <v>321</v>
      </c>
      <c r="AM13" s="129"/>
      <c r="AN13" s="56" t="str">
        <f t="shared" si="14"/>
        <v/>
      </c>
      <c r="AO13" s="56" t="str">
        <f t="shared" si="14"/>
        <v/>
      </c>
      <c r="AP13" s="56" t="str">
        <f t="shared" si="14"/>
        <v/>
      </c>
      <c r="AQ13" s="56" t="str">
        <f t="shared" si="14"/>
        <v>昼</v>
      </c>
      <c r="AR13" s="56">
        <f t="shared" si="4"/>
        <v>5</v>
      </c>
      <c r="AS13" s="56">
        <f t="shared" si="5"/>
        <v>7</v>
      </c>
      <c r="AT13" s="56" t="str">
        <f t="shared" si="6"/>
        <v/>
      </c>
      <c r="AU13" s="56">
        <f t="shared" si="7"/>
        <v>4</v>
      </c>
      <c r="AV13" s="56">
        <f t="shared" si="9"/>
        <v>16</v>
      </c>
      <c r="AW13" s="56">
        <v>223</v>
      </c>
      <c r="AX13" s="56" t="s">
        <v>343</v>
      </c>
      <c r="AY13" s="59">
        <v>9019466851</v>
      </c>
      <c r="AZ13" s="56" t="s">
        <v>336</v>
      </c>
      <c r="BA13" s="59">
        <v>8039162381</v>
      </c>
      <c r="BB13" s="66" t="s">
        <v>326</v>
      </c>
      <c r="BC13" s="56">
        <v>2</v>
      </c>
      <c r="BD13" s="88">
        <v>46203</v>
      </c>
      <c r="BE13" s="53"/>
      <c r="BF13" s="55"/>
    </row>
    <row r="14" spans="1:58" s="54" customFormat="1" ht="24.6" customHeight="1" x14ac:dyDescent="0.45">
      <c r="A14" s="72">
        <v>10</v>
      </c>
      <c r="B14" s="57" t="s">
        <v>468</v>
      </c>
      <c r="C14" s="57"/>
      <c r="D14" s="57"/>
      <c r="E14" s="57"/>
      <c r="F14" s="57"/>
      <c r="G14" s="57"/>
      <c r="H14" s="57"/>
      <c r="I14" s="57"/>
      <c r="J14" s="57"/>
      <c r="K14" s="57"/>
      <c r="L14" s="57"/>
      <c r="M14" s="56"/>
      <c r="N14" s="56"/>
      <c r="O14" s="58" t="s">
        <v>318</v>
      </c>
      <c r="P14" s="76" t="s">
        <v>319</v>
      </c>
      <c r="Q14" s="56" t="s">
        <v>319</v>
      </c>
      <c r="R14" s="56" t="s">
        <v>319</v>
      </c>
      <c r="S14" s="58" t="s">
        <v>321</v>
      </c>
      <c r="T14" s="56"/>
      <c r="U14" s="56"/>
      <c r="V14" s="56"/>
      <c r="W14" s="56"/>
      <c r="X14" s="56"/>
      <c r="Y14" s="56"/>
      <c r="Z14" s="56"/>
      <c r="AA14" s="56"/>
      <c r="AB14" s="56"/>
      <c r="AC14" s="58" t="s">
        <v>352</v>
      </c>
      <c r="AD14" s="76" t="s">
        <v>319</v>
      </c>
      <c r="AE14" s="56" t="s">
        <v>319</v>
      </c>
      <c r="AF14" s="56" t="s">
        <v>319</v>
      </c>
      <c r="AG14" s="58" t="s">
        <v>321</v>
      </c>
      <c r="AH14" s="56"/>
      <c r="AI14" s="56"/>
      <c r="AJ14" s="56"/>
      <c r="AK14" s="56"/>
      <c r="AL14" s="56"/>
      <c r="AM14" s="56"/>
      <c r="AN14" s="56"/>
      <c r="AO14" s="56"/>
      <c r="AP14" s="56"/>
      <c r="AQ14" s="56" t="s">
        <v>352</v>
      </c>
      <c r="AR14" s="56">
        <f t="shared" si="4"/>
        <v>3</v>
      </c>
      <c r="AS14" s="56">
        <f t="shared" si="5"/>
        <v>6</v>
      </c>
      <c r="AT14" s="56" t="str">
        <f t="shared" si="6"/>
        <v/>
      </c>
      <c r="AU14" s="56">
        <f t="shared" si="7"/>
        <v>2</v>
      </c>
      <c r="AV14" s="56">
        <f t="shared" si="9"/>
        <v>11</v>
      </c>
      <c r="AW14" s="56">
        <v>201</v>
      </c>
      <c r="AX14" s="56" t="s">
        <v>469</v>
      </c>
      <c r="AY14" s="59">
        <v>9037971410</v>
      </c>
      <c r="AZ14" s="56" t="s">
        <v>346</v>
      </c>
      <c r="BA14" s="59">
        <v>8033750537</v>
      </c>
      <c r="BB14" s="59" t="s">
        <v>347</v>
      </c>
      <c r="BC14" s="56">
        <v>2</v>
      </c>
      <c r="BD14" s="66"/>
      <c r="BE14" s="53"/>
      <c r="BF14" s="55"/>
    </row>
    <row r="15" spans="1:58" s="54" customFormat="1" ht="24.6" customHeight="1" x14ac:dyDescent="0.45">
      <c r="A15" s="72">
        <v>11</v>
      </c>
      <c r="B15" s="57" t="s">
        <v>344</v>
      </c>
      <c r="C15" s="57"/>
      <c r="D15" s="57"/>
      <c r="E15" s="57"/>
      <c r="F15" s="57"/>
      <c r="G15" s="57"/>
      <c r="H15" s="57"/>
      <c r="I15" s="57"/>
      <c r="J15" s="57"/>
      <c r="K15" s="57"/>
      <c r="L15" s="57"/>
      <c r="M15" s="56" t="str">
        <f>IF(M$4="木","昼",IF(M$4="金","○",IF(M$4="土","夕","")))</f>
        <v/>
      </c>
      <c r="N15" s="56" t="str">
        <f t="shared" ref="N15:AQ15" si="15">IF(N$4="木","昼",IF(N$4="金","○",IF(N$4="土","夕","")))</f>
        <v/>
      </c>
      <c r="O15" s="56" t="str">
        <f t="shared" si="15"/>
        <v/>
      </c>
      <c r="P15" s="56"/>
      <c r="Q15" s="56"/>
      <c r="R15" s="56"/>
      <c r="S15" s="56"/>
      <c r="T15" s="56" t="str">
        <f t="shared" si="15"/>
        <v/>
      </c>
      <c r="U15" s="56" t="str">
        <f t="shared" si="15"/>
        <v/>
      </c>
      <c r="V15" s="56" t="str">
        <f t="shared" si="15"/>
        <v/>
      </c>
      <c r="W15" s="56" t="str">
        <f t="shared" si="15"/>
        <v/>
      </c>
      <c r="X15" s="56" t="str">
        <f t="shared" si="15"/>
        <v>昼</v>
      </c>
      <c r="Y15" s="56" t="str">
        <f t="shared" si="15"/>
        <v>○</v>
      </c>
      <c r="Z15" s="58" t="str">
        <f t="shared" si="15"/>
        <v>夕</v>
      </c>
      <c r="AA15" s="56" t="str">
        <f t="shared" si="15"/>
        <v/>
      </c>
      <c r="AB15" s="56" t="str">
        <f t="shared" si="15"/>
        <v/>
      </c>
      <c r="AC15" s="56"/>
      <c r="AD15" s="56"/>
      <c r="AE15" s="56"/>
      <c r="AF15" s="56"/>
      <c r="AG15" s="56"/>
      <c r="AH15" s="56"/>
      <c r="AI15" s="56" t="str">
        <f t="shared" si="15"/>
        <v/>
      </c>
      <c r="AJ15" s="56" t="str">
        <f t="shared" si="15"/>
        <v/>
      </c>
      <c r="AK15" s="56" t="str">
        <f t="shared" si="15"/>
        <v/>
      </c>
      <c r="AL15" s="56" t="str">
        <f t="shared" si="15"/>
        <v>昼</v>
      </c>
      <c r="AM15" s="56" t="str">
        <f t="shared" si="15"/>
        <v>○</v>
      </c>
      <c r="AN15" s="58" t="str">
        <f t="shared" si="15"/>
        <v>夕</v>
      </c>
      <c r="AO15" s="56" t="str">
        <f t="shared" si="15"/>
        <v/>
      </c>
      <c r="AP15" s="56" t="str">
        <f t="shared" si="15"/>
        <v/>
      </c>
      <c r="AQ15" s="56" t="str">
        <f t="shared" si="15"/>
        <v/>
      </c>
      <c r="AR15" s="56">
        <f t="shared" si="4"/>
        <v>2</v>
      </c>
      <c r="AS15" s="56">
        <f t="shared" si="5"/>
        <v>2</v>
      </c>
      <c r="AT15" s="56" t="str">
        <f t="shared" si="6"/>
        <v/>
      </c>
      <c r="AU15" s="56">
        <f t="shared" si="7"/>
        <v>2</v>
      </c>
      <c r="AV15" s="56">
        <f t="shared" si="9"/>
        <v>6</v>
      </c>
      <c r="AW15" s="56">
        <v>223</v>
      </c>
      <c r="AX15" s="56" t="s">
        <v>345</v>
      </c>
      <c r="AY15" s="59">
        <v>9068975316</v>
      </c>
      <c r="AZ15" s="56" t="s">
        <v>346</v>
      </c>
      <c r="BA15" s="59">
        <v>8033750538</v>
      </c>
      <c r="BB15" s="66" t="s">
        <v>347</v>
      </c>
      <c r="BC15" s="56">
        <v>2</v>
      </c>
      <c r="BD15" s="88"/>
      <c r="BE15" s="53"/>
      <c r="BF15" s="55"/>
    </row>
    <row r="16" spans="1:58" s="54" customFormat="1" ht="24.6" customHeight="1" x14ac:dyDescent="0.45">
      <c r="A16" s="72">
        <v>12</v>
      </c>
      <c r="B16" s="57" t="s">
        <v>348</v>
      </c>
      <c r="C16" s="57"/>
      <c r="D16" s="57"/>
      <c r="E16" s="57"/>
      <c r="F16" s="57"/>
      <c r="G16" s="57"/>
      <c r="H16" s="57"/>
      <c r="I16" s="57"/>
      <c r="J16" s="57"/>
      <c r="K16" s="57"/>
      <c r="L16" s="57"/>
      <c r="M16" s="56" t="s">
        <v>319</v>
      </c>
      <c r="N16" s="76" t="s">
        <v>319</v>
      </c>
      <c r="O16" s="56" t="s">
        <v>319</v>
      </c>
      <c r="P16" s="56" t="s">
        <v>319</v>
      </c>
      <c r="Q16" s="121" t="s">
        <v>498</v>
      </c>
      <c r="R16" s="56" t="s">
        <v>320</v>
      </c>
      <c r="S16" s="56" t="str">
        <f t="shared" ref="S16:AQ16" si="16">IF(S$4="月","昼",IF(S$4="火","○",IF(S$4="水","○",IF(S$4="木","お",""))))</f>
        <v/>
      </c>
      <c r="T16" s="56" t="str">
        <f t="shared" si="16"/>
        <v/>
      </c>
      <c r="U16" s="56" t="str">
        <f t="shared" si="16"/>
        <v>昼</v>
      </c>
      <c r="V16" s="56" t="s">
        <v>319</v>
      </c>
      <c r="W16" s="56" t="s">
        <v>319</v>
      </c>
      <c r="X16" s="76" t="s">
        <v>319</v>
      </c>
      <c r="Y16" s="56" t="s">
        <v>319</v>
      </c>
      <c r="Z16" s="56" t="s">
        <v>319</v>
      </c>
      <c r="AA16" s="56" t="s">
        <v>319</v>
      </c>
      <c r="AB16" s="76" t="s">
        <v>319</v>
      </c>
      <c r="AC16" s="56" t="s">
        <v>319</v>
      </c>
      <c r="AD16" s="56" t="s">
        <v>319</v>
      </c>
      <c r="AE16" s="72" t="s">
        <v>319</v>
      </c>
      <c r="AF16" s="76" t="s">
        <v>319</v>
      </c>
      <c r="AG16" s="56" t="s">
        <v>319</v>
      </c>
      <c r="AH16" s="56" t="s">
        <v>319</v>
      </c>
      <c r="AI16" s="72" t="s">
        <v>319</v>
      </c>
      <c r="AJ16" s="76" t="s">
        <v>319</v>
      </c>
      <c r="AK16" s="56" t="s">
        <v>319</v>
      </c>
      <c r="AL16" s="72" t="s">
        <v>319</v>
      </c>
      <c r="AM16" s="76" t="s">
        <v>319</v>
      </c>
      <c r="AN16" s="56" t="s">
        <v>319</v>
      </c>
      <c r="AO16" s="56" t="s">
        <v>319</v>
      </c>
      <c r="AP16" s="72" t="s">
        <v>319</v>
      </c>
      <c r="AQ16" s="76" t="str">
        <f t="shared" si="16"/>
        <v>○</v>
      </c>
      <c r="AR16" s="56">
        <f t="shared" si="4"/>
        <v>1</v>
      </c>
      <c r="AS16" s="56">
        <f t="shared" si="5"/>
        <v>26</v>
      </c>
      <c r="AT16" s="56">
        <f t="shared" si="6"/>
        <v>1</v>
      </c>
      <c r="AU16" s="56" t="str">
        <f t="shared" si="7"/>
        <v/>
      </c>
      <c r="AV16" s="56">
        <f t="shared" si="9"/>
        <v>28</v>
      </c>
      <c r="AW16" s="56">
        <v>223</v>
      </c>
      <c r="AX16" s="56" t="s">
        <v>349</v>
      </c>
      <c r="AY16" s="59">
        <v>9013413414</v>
      </c>
      <c r="AZ16" s="56" t="s">
        <v>350</v>
      </c>
      <c r="BA16" s="59">
        <v>9069641724</v>
      </c>
      <c r="BB16" s="66" t="s">
        <v>337</v>
      </c>
      <c r="BC16" s="56">
        <v>3</v>
      </c>
      <c r="BD16" s="88"/>
      <c r="BE16" s="53"/>
      <c r="BF16" s="55"/>
    </row>
    <row r="17" spans="1:58" s="54" customFormat="1" ht="24.6" customHeight="1" x14ac:dyDescent="0.45">
      <c r="A17" s="72">
        <v>13</v>
      </c>
      <c r="B17" s="57" t="s">
        <v>351</v>
      </c>
      <c r="C17" s="57"/>
      <c r="D17" s="57"/>
      <c r="E17" s="57"/>
      <c r="F17" s="57"/>
      <c r="G17" s="57"/>
      <c r="H17" s="57"/>
      <c r="I17" s="57"/>
      <c r="J17" s="57"/>
      <c r="K17" s="57"/>
      <c r="L17" s="57"/>
      <c r="M17" s="58" t="str">
        <f>IF(M$4="土","昼",IF(M$4="日","お",""))</f>
        <v>お</v>
      </c>
      <c r="N17" s="56" t="str">
        <f t="shared" ref="N17:AQ17" si="17">IF(N$4="土","昼",IF(N$4="日","お",""))</f>
        <v/>
      </c>
      <c r="O17" s="56" t="str">
        <f t="shared" si="17"/>
        <v/>
      </c>
      <c r="P17" s="56" t="str">
        <f t="shared" si="17"/>
        <v/>
      </c>
      <c r="Q17" s="56" t="str">
        <f t="shared" si="17"/>
        <v/>
      </c>
      <c r="R17" s="56" t="str">
        <f t="shared" si="17"/>
        <v/>
      </c>
      <c r="S17" s="58" t="str">
        <f t="shared" si="17"/>
        <v>昼</v>
      </c>
      <c r="T17" s="58" t="str">
        <f t="shared" si="17"/>
        <v>お</v>
      </c>
      <c r="U17" s="56" t="str">
        <f t="shared" si="17"/>
        <v/>
      </c>
      <c r="V17" s="56" t="str">
        <f t="shared" si="17"/>
        <v/>
      </c>
      <c r="W17" s="56" t="str">
        <f t="shared" si="17"/>
        <v/>
      </c>
      <c r="X17" s="58" t="str">
        <f t="shared" si="17"/>
        <v/>
      </c>
      <c r="Y17" s="56"/>
      <c r="Z17" s="58"/>
      <c r="AA17" s="58"/>
      <c r="AB17" s="56"/>
      <c r="AC17" s="56" t="str">
        <f t="shared" si="17"/>
        <v/>
      </c>
      <c r="AD17" s="56" t="str">
        <f t="shared" si="17"/>
        <v/>
      </c>
      <c r="AE17" s="56" t="str">
        <f t="shared" si="17"/>
        <v/>
      </c>
      <c r="AF17" s="56" t="str">
        <f t="shared" si="17"/>
        <v/>
      </c>
      <c r="AG17" s="58" t="str">
        <f t="shared" si="17"/>
        <v>昼</v>
      </c>
      <c r="AH17" s="58" t="str">
        <f t="shared" si="17"/>
        <v>お</v>
      </c>
      <c r="AI17" s="56" t="str">
        <f t="shared" si="17"/>
        <v/>
      </c>
      <c r="AJ17" s="56" t="str">
        <f t="shared" si="17"/>
        <v/>
      </c>
      <c r="AK17" s="56" t="str">
        <f t="shared" si="17"/>
        <v/>
      </c>
      <c r="AL17" s="56" t="str">
        <f t="shared" si="17"/>
        <v/>
      </c>
      <c r="AM17" s="56" t="str">
        <f t="shared" si="17"/>
        <v/>
      </c>
      <c r="AN17" s="58" t="str">
        <f t="shared" si="17"/>
        <v>昼</v>
      </c>
      <c r="AO17" s="58" t="str">
        <f t="shared" si="17"/>
        <v>お</v>
      </c>
      <c r="AP17" s="56" t="str">
        <f t="shared" si="17"/>
        <v/>
      </c>
      <c r="AQ17" s="56" t="str">
        <f t="shared" si="17"/>
        <v/>
      </c>
      <c r="AR17" s="56">
        <f t="shared" si="4"/>
        <v>3</v>
      </c>
      <c r="AS17" s="56" t="str">
        <f t="shared" si="5"/>
        <v/>
      </c>
      <c r="AT17" s="56">
        <f t="shared" si="6"/>
        <v>4</v>
      </c>
      <c r="AU17" s="56" t="str">
        <f t="shared" si="7"/>
        <v/>
      </c>
      <c r="AV17" s="56">
        <f t="shared" si="9"/>
        <v>7</v>
      </c>
      <c r="AW17" s="56">
        <v>223</v>
      </c>
      <c r="AX17" s="56" t="s">
        <v>353</v>
      </c>
      <c r="AY17" s="59">
        <v>9097873561</v>
      </c>
      <c r="AZ17" s="56" t="s">
        <v>346</v>
      </c>
      <c r="BA17" s="59">
        <v>8033750537</v>
      </c>
      <c r="BB17" s="66" t="s">
        <v>347</v>
      </c>
      <c r="BC17" s="56">
        <v>1</v>
      </c>
      <c r="BD17" s="88"/>
      <c r="BE17" s="61" t="s">
        <v>365</v>
      </c>
      <c r="BF17" s="55" t="s">
        <v>366</v>
      </c>
    </row>
    <row r="18" spans="1:58" s="54" customFormat="1" ht="24.6" customHeight="1" x14ac:dyDescent="0.45">
      <c r="A18" s="72">
        <v>14</v>
      </c>
      <c r="B18" s="57" t="s">
        <v>367</v>
      </c>
      <c r="C18" s="57"/>
      <c r="D18" s="57"/>
      <c r="E18" s="57"/>
      <c r="F18" s="57"/>
      <c r="G18" s="57"/>
      <c r="H18" s="57"/>
      <c r="I18" s="57"/>
      <c r="J18" s="57"/>
      <c r="K18" s="57"/>
      <c r="L18" s="57"/>
      <c r="M18" s="56"/>
      <c r="N18" s="56"/>
      <c r="O18" s="56"/>
      <c r="P18" s="56"/>
      <c r="Q18" s="56"/>
      <c r="R18" s="56"/>
      <c r="S18" s="56"/>
      <c r="T18" s="56"/>
      <c r="U18" s="56"/>
      <c r="V18" s="56"/>
      <c r="W18" s="56"/>
      <c r="X18" s="56"/>
      <c r="Y18" s="56"/>
      <c r="Z18" s="56"/>
      <c r="AA18" s="56"/>
      <c r="AB18" s="56"/>
      <c r="AC18" s="56"/>
      <c r="AD18" s="56"/>
      <c r="AE18" s="56"/>
      <c r="AF18" s="56" t="s">
        <v>318</v>
      </c>
      <c r="AG18" s="76" t="s">
        <v>319</v>
      </c>
      <c r="AH18" s="56" t="s">
        <v>319</v>
      </c>
      <c r="AI18" s="56" t="s">
        <v>319</v>
      </c>
      <c r="AJ18" s="56" t="s">
        <v>320</v>
      </c>
      <c r="AK18" s="56"/>
      <c r="AL18" s="56"/>
      <c r="AM18" s="56"/>
      <c r="AN18" s="56"/>
      <c r="AO18" s="56"/>
      <c r="AP18" s="56"/>
      <c r="AQ18" s="56"/>
      <c r="AR18" s="56">
        <f t="shared" si="4"/>
        <v>1</v>
      </c>
      <c r="AS18" s="56">
        <f t="shared" si="5"/>
        <v>3</v>
      </c>
      <c r="AT18" s="56">
        <f t="shared" si="6"/>
        <v>1</v>
      </c>
      <c r="AU18" s="56" t="str">
        <f t="shared" si="7"/>
        <v/>
      </c>
      <c r="AV18" s="56">
        <f t="shared" si="9"/>
        <v>5</v>
      </c>
      <c r="AW18" s="56">
        <v>223</v>
      </c>
      <c r="AX18" s="56" t="s">
        <v>368</v>
      </c>
      <c r="AY18" s="59">
        <v>98037966964</v>
      </c>
      <c r="AZ18" s="56" t="s">
        <v>369</v>
      </c>
      <c r="BA18" s="59">
        <v>8064920886</v>
      </c>
      <c r="BB18" s="66" t="s">
        <v>347</v>
      </c>
      <c r="BC18" s="56">
        <v>2</v>
      </c>
      <c r="BD18" s="88"/>
      <c r="BE18" s="61"/>
      <c r="BF18" s="55"/>
    </row>
    <row r="19" spans="1:58" s="54" customFormat="1" ht="24.6" customHeight="1" x14ac:dyDescent="0.45">
      <c r="A19" s="72">
        <v>15</v>
      </c>
      <c r="B19" s="57" t="s">
        <v>357</v>
      </c>
      <c r="C19" s="57"/>
      <c r="D19" s="57"/>
      <c r="E19" s="57"/>
      <c r="F19" s="57"/>
      <c r="G19" s="57"/>
      <c r="H19" s="57"/>
      <c r="I19" s="57"/>
      <c r="J19" s="57"/>
      <c r="K19" s="57"/>
      <c r="L19" s="57"/>
      <c r="M19" s="56" t="str">
        <f>IF(M$4="月","昼",IF(M$4="火","○",IF(M$4="水","○",IF(M$4="木","お",""))))</f>
        <v/>
      </c>
      <c r="N19" s="56" t="str">
        <f t="shared" ref="N19:AQ19" si="18">IF(N$4="月","昼",IF(N$4="火","○",IF(N$4="水","○",IF(N$4="木","お",""))))</f>
        <v>昼</v>
      </c>
      <c r="O19" s="56" t="str">
        <f t="shared" si="18"/>
        <v>○</v>
      </c>
      <c r="P19" s="56" t="str">
        <f t="shared" si="18"/>
        <v>○</v>
      </c>
      <c r="Q19" s="56" t="str">
        <f t="shared" si="18"/>
        <v>お</v>
      </c>
      <c r="R19" s="56" t="str">
        <f t="shared" si="18"/>
        <v/>
      </c>
      <c r="S19" s="56" t="str">
        <f t="shared" si="18"/>
        <v/>
      </c>
      <c r="T19" s="56" t="str">
        <f t="shared" si="18"/>
        <v/>
      </c>
      <c r="U19" s="56" t="str">
        <f t="shared" si="18"/>
        <v>昼</v>
      </c>
      <c r="V19" s="56" t="str">
        <f t="shared" si="18"/>
        <v>○</v>
      </c>
      <c r="W19" s="76" t="s">
        <v>319</v>
      </c>
      <c r="X19" s="56" t="s">
        <v>319</v>
      </c>
      <c r="Y19" s="56" t="s">
        <v>319</v>
      </c>
      <c r="Z19" s="76" t="s">
        <v>319</v>
      </c>
      <c r="AA19" s="56" t="s">
        <v>319</v>
      </c>
      <c r="AB19" s="56" t="s">
        <v>319</v>
      </c>
      <c r="AC19" s="56" t="str">
        <f t="shared" si="18"/>
        <v>○</v>
      </c>
      <c r="AD19" s="56" t="str">
        <f t="shared" si="18"/>
        <v>○</v>
      </c>
      <c r="AE19" s="56" t="str">
        <f t="shared" si="18"/>
        <v>お</v>
      </c>
      <c r="AF19" s="56" t="str">
        <f t="shared" si="18"/>
        <v/>
      </c>
      <c r="AG19" s="56" t="str">
        <f t="shared" si="18"/>
        <v/>
      </c>
      <c r="AH19" s="56" t="str">
        <f t="shared" si="18"/>
        <v/>
      </c>
      <c r="AI19" s="56" t="str">
        <f t="shared" si="18"/>
        <v>昼</v>
      </c>
      <c r="AJ19" s="56" t="str">
        <f t="shared" si="18"/>
        <v>○</v>
      </c>
      <c r="AK19" s="56" t="str">
        <f t="shared" si="18"/>
        <v>○</v>
      </c>
      <c r="AL19" s="56" t="str">
        <f t="shared" si="18"/>
        <v>お</v>
      </c>
      <c r="AM19" s="56" t="str">
        <f t="shared" si="18"/>
        <v/>
      </c>
      <c r="AN19" s="56" t="str">
        <f t="shared" si="18"/>
        <v/>
      </c>
      <c r="AO19" s="56" t="str">
        <f t="shared" si="18"/>
        <v/>
      </c>
      <c r="AP19" s="56" t="str">
        <f t="shared" si="18"/>
        <v>昼</v>
      </c>
      <c r="AQ19" s="56" t="str">
        <f t="shared" si="18"/>
        <v>○</v>
      </c>
      <c r="AR19" s="56">
        <f t="shared" si="4"/>
        <v>4</v>
      </c>
      <c r="AS19" s="56">
        <f t="shared" si="5"/>
        <v>14</v>
      </c>
      <c r="AT19" s="56">
        <f t="shared" si="6"/>
        <v>3</v>
      </c>
      <c r="AU19" s="56" t="str">
        <f t="shared" si="7"/>
        <v/>
      </c>
      <c r="AV19" s="56">
        <f t="shared" si="9"/>
        <v>21</v>
      </c>
      <c r="AW19" s="56" t="s">
        <v>456</v>
      </c>
      <c r="AX19" s="56" t="s">
        <v>358</v>
      </c>
      <c r="AY19" s="59">
        <v>8035335927</v>
      </c>
      <c r="AZ19" s="56" t="s">
        <v>359</v>
      </c>
      <c r="BA19" s="59">
        <v>9082902739</v>
      </c>
      <c r="BB19" s="66" t="s">
        <v>360</v>
      </c>
      <c r="BC19" s="56">
        <v>3</v>
      </c>
      <c r="BD19" s="88"/>
      <c r="BE19" s="61"/>
      <c r="BF19" s="55"/>
    </row>
    <row r="20" spans="1:58" s="54" customFormat="1" ht="24.6" customHeight="1" x14ac:dyDescent="0.45">
      <c r="A20" s="72">
        <v>16</v>
      </c>
      <c r="B20" s="57" t="s">
        <v>471</v>
      </c>
      <c r="C20" s="57"/>
      <c r="D20" s="57"/>
      <c r="E20" s="57"/>
      <c r="F20" s="57"/>
      <c r="G20" s="57"/>
      <c r="H20" s="57"/>
      <c r="I20" s="57"/>
      <c r="J20" s="57"/>
      <c r="K20" s="57"/>
      <c r="L20" s="57"/>
      <c r="M20" s="56" t="str">
        <f>IF(M$4="木","昼",IF(M$4="金","お",""))</f>
        <v/>
      </c>
      <c r="N20" s="56" t="str">
        <f t="shared" ref="N20:AQ20" si="19">IF(N$4="木","昼",IF(N$4="金","お",""))</f>
        <v/>
      </c>
      <c r="O20" s="56" t="str">
        <f t="shared" si="19"/>
        <v/>
      </c>
      <c r="P20" s="56" t="str">
        <f t="shared" si="19"/>
        <v/>
      </c>
      <c r="Q20" s="56" t="str">
        <f t="shared" si="19"/>
        <v>昼</v>
      </c>
      <c r="R20" s="56" t="str">
        <f t="shared" si="19"/>
        <v>お</v>
      </c>
      <c r="S20" s="56" t="str">
        <f t="shared" si="19"/>
        <v/>
      </c>
      <c r="T20" s="56" t="str">
        <f t="shared" si="19"/>
        <v/>
      </c>
      <c r="U20" s="56" t="str">
        <f t="shared" si="19"/>
        <v/>
      </c>
      <c r="V20" s="56" t="str">
        <f t="shared" si="19"/>
        <v/>
      </c>
      <c r="W20" s="56" t="str">
        <f t="shared" si="19"/>
        <v/>
      </c>
      <c r="X20" s="56" t="str">
        <f t="shared" si="19"/>
        <v>昼</v>
      </c>
      <c r="Y20" s="56" t="str">
        <f t="shared" si="19"/>
        <v>お</v>
      </c>
      <c r="Z20" s="56" t="str">
        <f t="shared" si="19"/>
        <v/>
      </c>
      <c r="AA20" s="56" t="str">
        <f t="shared" si="19"/>
        <v/>
      </c>
      <c r="AB20" s="56" t="str">
        <f t="shared" si="19"/>
        <v/>
      </c>
      <c r="AC20" s="56" t="str">
        <f t="shared" si="19"/>
        <v/>
      </c>
      <c r="AD20" s="56" t="str">
        <f t="shared" si="19"/>
        <v/>
      </c>
      <c r="AE20" s="56" t="str">
        <f t="shared" si="19"/>
        <v>昼</v>
      </c>
      <c r="AF20" s="56" t="str">
        <f t="shared" si="19"/>
        <v>お</v>
      </c>
      <c r="AG20" s="56" t="str">
        <f t="shared" si="19"/>
        <v/>
      </c>
      <c r="AH20" s="56" t="str">
        <f t="shared" si="19"/>
        <v/>
      </c>
      <c r="AI20" s="56" t="str">
        <f t="shared" si="19"/>
        <v/>
      </c>
      <c r="AJ20" s="56" t="str">
        <f t="shared" si="19"/>
        <v/>
      </c>
      <c r="AK20" s="56" t="str">
        <f t="shared" si="19"/>
        <v/>
      </c>
      <c r="AL20" s="56" t="str">
        <f t="shared" si="19"/>
        <v>昼</v>
      </c>
      <c r="AM20" s="56" t="str">
        <f t="shared" si="19"/>
        <v>お</v>
      </c>
      <c r="AN20" s="56" t="str">
        <f t="shared" si="19"/>
        <v/>
      </c>
      <c r="AO20" s="56" t="str">
        <f t="shared" si="19"/>
        <v/>
      </c>
      <c r="AP20" s="56" t="str">
        <f t="shared" si="19"/>
        <v/>
      </c>
      <c r="AQ20" s="56" t="str">
        <f t="shared" si="19"/>
        <v/>
      </c>
      <c r="AR20" s="56">
        <f t="shared" si="4"/>
        <v>4</v>
      </c>
      <c r="AS20" s="56" t="str">
        <f t="shared" si="5"/>
        <v/>
      </c>
      <c r="AT20" s="56">
        <f t="shared" si="6"/>
        <v>4</v>
      </c>
      <c r="AU20" s="56" t="str">
        <f t="shared" si="7"/>
        <v/>
      </c>
      <c r="AV20" s="56">
        <f t="shared" si="9"/>
        <v>8</v>
      </c>
      <c r="AW20" s="56">
        <v>223</v>
      </c>
      <c r="AX20" s="56" t="s">
        <v>472</v>
      </c>
      <c r="AY20" s="59">
        <v>8064949861</v>
      </c>
      <c r="AZ20" s="56" t="s">
        <v>380</v>
      </c>
      <c r="BA20" s="59">
        <v>8033750538</v>
      </c>
      <c r="BB20" s="66" t="s">
        <v>326</v>
      </c>
      <c r="BC20" s="56">
        <v>4</v>
      </c>
      <c r="BD20" s="88"/>
      <c r="BE20" s="61"/>
      <c r="BF20" s="55"/>
    </row>
    <row r="21" spans="1:58" s="54" customFormat="1" ht="24.6" customHeight="1" x14ac:dyDescent="0.45">
      <c r="A21" s="72">
        <v>17</v>
      </c>
      <c r="B21" s="57" t="s">
        <v>499</v>
      </c>
      <c r="C21" s="57"/>
      <c r="D21" s="57"/>
      <c r="E21" s="57"/>
      <c r="F21" s="57"/>
      <c r="G21" s="57"/>
      <c r="H21" s="57"/>
      <c r="I21" s="57"/>
      <c r="J21" s="57"/>
      <c r="K21" s="57"/>
      <c r="L21" s="57"/>
      <c r="M21" s="56" t="str">
        <f>IF(M$4="月","昼",IF(M$4="火","お",""))</f>
        <v/>
      </c>
      <c r="N21" s="56" t="str">
        <f t="shared" ref="N21:AQ21" si="20">IF(N$4="月","昼",IF(N$4="火","お",""))</f>
        <v>昼</v>
      </c>
      <c r="O21" s="56" t="str">
        <f t="shared" si="20"/>
        <v>お</v>
      </c>
      <c r="P21" s="56" t="str">
        <f t="shared" si="20"/>
        <v/>
      </c>
      <c r="Q21" s="56" t="str">
        <f t="shared" si="20"/>
        <v/>
      </c>
      <c r="R21" s="56" t="str">
        <f t="shared" si="20"/>
        <v/>
      </c>
      <c r="S21" s="56" t="str">
        <f t="shared" si="20"/>
        <v/>
      </c>
      <c r="T21" s="56" t="str">
        <f t="shared" si="20"/>
        <v/>
      </c>
      <c r="U21" s="56" t="str">
        <f t="shared" si="20"/>
        <v>昼</v>
      </c>
      <c r="V21" s="56" t="str">
        <f t="shared" si="20"/>
        <v>お</v>
      </c>
      <c r="W21" s="56" t="str">
        <f t="shared" si="20"/>
        <v/>
      </c>
      <c r="X21" s="56" t="str">
        <f t="shared" si="20"/>
        <v/>
      </c>
      <c r="Y21" s="56" t="str">
        <f t="shared" si="20"/>
        <v/>
      </c>
      <c r="Z21" s="56" t="str">
        <f t="shared" si="20"/>
        <v/>
      </c>
      <c r="AA21" s="56" t="str">
        <f t="shared" si="20"/>
        <v/>
      </c>
      <c r="AB21" s="56" t="str">
        <f t="shared" si="20"/>
        <v>昼</v>
      </c>
      <c r="AC21" s="56" t="str">
        <f t="shared" si="20"/>
        <v>お</v>
      </c>
      <c r="AD21" s="56" t="str">
        <f t="shared" si="20"/>
        <v/>
      </c>
      <c r="AE21" s="56" t="str">
        <f t="shared" si="20"/>
        <v/>
      </c>
      <c r="AF21" s="56" t="str">
        <f t="shared" si="20"/>
        <v/>
      </c>
      <c r="AG21" s="56" t="str">
        <f t="shared" si="20"/>
        <v/>
      </c>
      <c r="AH21" s="56" t="str">
        <f t="shared" si="20"/>
        <v/>
      </c>
      <c r="AI21" s="56" t="str">
        <f t="shared" si="20"/>
        <v>昼</v>
      </c>
      <c r="AJ21" s="56" t="str">
        <f t="shared" si="20"/>
        <v>お</v>
      </c>
      <c r="AK21" s="56" t="str">
        <f t="shared" si="20"/>
        <v/>
      </c>
      <c r="AL21" s="56" t="str">
        <f t="shared" si="20"/>
        <v/>
      </c>
      <c r="AM21" s="56" t="str">
        <f t="shared" si="20"/>
        <v/>
      </c>
      <c r="AN21" s="56" t="str">
        <f t="shared" si="20"/>
        <v/>
      </c>
      <c r="AO21" s="56" t="str">
        <f t="shared" si="20"/>
        <v/>
      </c>
      <c r="AP21" s="56" t="str">
        <f t="shared" si="20"/>
        <v>昼</v>
      </c>
      <c r="AQ21" s="56" t="str">
        <f t="shared" si="20"/>
        <v>お</v>
      </c>
      <c r="AR21" s="56">
        <f t="shared" si="4"/>
        <v>5</v>
      </c>
      <c r="AS21" s="56" t="str">
        <f t="shared" si="5"/>
        <v/>
      </c>
      <c r="AT21" s="56">
        <f t="shared" si="6"/>
        <v>5</v>
      </c>
      <c r="AU21" s="56" t="str">
        <f t="shared" si="7"/>
        <v/>
      </c>
      <c r="AV21" s="56">
        <f t="shared" si="9"/>
        <v>10</v>
      </c>
      <c r="AW21" s="56">
        <v>223</v>
      </c>
      <c r="AX21" s="56" t="s">
        <v>500</v>
      </c>
      <c r="AY21" s="59">
        <v>9019451217</v>
      </c>
      <c r="AZ21" s="56" t="s">
        <v>380</v>
      </c>
      <c r="BA21" s="59">
        <v>8033750538</v>
      </c>
      <c r="BB21" s="66" t="s">
        <v>326</v>
      </c>
      <c r="BC21" s="56">
        <v>3</v>
      </c>
      <c r="BD21" s="88"/>
      <c r="BE21" s="61"/>
      <c r="BF21" s="55"/>
    </row>
    <row r="22" spans="1:58" s="54" customFormat="1" ht="24.6" customHeight="1" x14ac:dyDescent="0.45">
      <c r="A22" s="72">
        <v>18</v>
      </c>
      <c r="B22" s="57" t="s">
        <v>363</v>
      </c>
      <c r="C22" s="57"/>
      <c r="D22" s="57"/>
      <c r="E22" s="57"/>
      <c r="F22" s="57"/>
      <c r="G22" s="57"/>
      <c r="H22" s="57"/>
      <c r="I22" s="57"/>
      <c r="J22" s="57"/>
      <c r="K22" s="57"/>
      <c r="L22" s="57"/>
      <c r="M22" s="126" t="str">
        <f>IF(M$4="日","昼",IF(M$4="月","お",""))</f>
        <v>昼</v>
      </c>
      <c r="N22" s="125" t="str">
        <f t="shared" ref="N22:AQ22" si="21">IF(N$4="日","昼",IF(N$4="月","お",""))</f>
        <v>お</v>
      </c>
      <c r="O22" s="125" t="str">
        <f t="shared" si="21"/>
        <v/>
      </c>
      <c r="P22" s="125" t="str">
        <f t="shared" si="21"/>
        <v/>
      </c>
      <c r="Q22" s="125" t="str">
        <f t="shared" si="21"/>
        <v/>
      </c>
      <c r="R22" s="125" t="str">
        <f t="shared" si="21"/>
        <v/>
      </c>
      <c r="S22" s="125" t="str">
        <f t="shared" si="21"/>
        <v/>
      </c>
      <c r="T22" s="126" t="str">
        <f t="shared" si="21"/>
        <v>昼</v>
      </c>
      <c r="U22" s="125" t="str">
        <f t="shared" si="21"/>
        <v>お</v>
      </c>
      <c r="V22" s="125" t="str">
        <f t="shared" si="21"/>
        <v/>
      </c>
      <c r="W22" s="125" t="str">
        <f t="shared" si="21"/>
        <v/>
      </c>
      <c r="X22" s="125" t="str">
        <f t="shared" si="21"/>
        <v/>
      </c>
      <c r="Y22" s="125" t="str">
        <f t="shared" si="21"/>
        <v/>
      </c>
      <c r="Z22" s="125"/>
      <c r="AA22" s="126"/>
      <c r="AB22" s="125"/>
      <c r="AC22" s="125"/>
      <c r="AD22" s="125"/>
      <c r="AE22" s="125" t="str">
        <f t="shared" si="21"/>
        <v/>
      </c>
      <c r="AF22" s="125" t="str">
        <f t="shared" si="21"/>
        <v/>
      </c>
      <c r="AG22" s="125"/>
      <c r="AH22" s="126"/>
      <c r="AI22" s="125"/>
      <c r="AJ22" s="125"/>
      <c r="AK22" s="125" t="str">
        <f t="shared" si="21"/>
        <v/>
      </c>
      <c r="AL22" s="125" t="str">
        <f t="shared" si="21"/>
        <v/>
      </c>
      <c r="AM22" s="125" t="str">
        <f t="shared" si="21"/>
        <v/>
      </c>
      <c r="AN22" s="125" t="str">
        <f t="shared" si="21"/>
        <v/>
      </c>
      <c r="AO22" s="126" t="str">
        <f t="shared" si="21"/>
        <v>昼</v>
      </c>
      <c r="AP22" s="125" t="str">
        <f t="shared" si="21"/>
        <v>お</v>
      </c>
      <c r="AQ22" s="125" t="str">
        <f t="shared" si="21"/>
        <v/>
      </c>
      <c r="AR22" s="56">
        <f t="shared" si="4"/>
        <v>3</v>
      </c>
      <c r="AS22" s="56" t="str">
        <f t="shared" si="5"/>
        <v/>
      </c>
      <c r="AT22" s="56">
        <f t="shared" si="6"/>
        <v>3</v>
      </c>
      <c r="AU22" s="56" t="str">
        <f t="shared" si="7"/>
        <v/>
      </c>
      <c r="AV22" s="56">
        <f t="shared" si="9"/>
        <v>6</v>
      </c>
      <c r="AW22" s="56">
        <v>223</v>
      </c>
      <c r="AX22" s="59" t="s">
        <v>364</v>
      </c>
      <c r="AY22" s="59">
        <v>9082937045</v>
      </c>
      <c r="AZ22" s="56" t="s">
        <v>336</v>
      </c>
      <c r="BA22" s="59">
        <v>8039162381</v>
      </c>
      <c r="BB22" s="66" t="s">
        <v>326</v>
      </c>
      <c r="BC22" s="56">
        <v>3</v>
      </c>
      <c r="BD22" s="88"/>
      <c r="BE22" s="61"/>
      <c r="BF22" s="55"/>
    </row>
    <row r="23" spans="1:58" s="54" customFormat="1" ht="24.6" customHeight="1" x14ac:dyDescent="0.45">
      <c r="A23" s="72">
        <v>19</v>
      </c>
      <c r="B23" s="57" t="s">
        <v>501</v>
      </c>
      <c r="C23" s="57"/>
      <c r="D23" s="57"/>
      <c r="E23" s="57"/>
      <c r="F23" s="57"/>
      <c r="G23" s="57"/>
      <c r="H23" s="57"/>
      <c r="I23" s="57"/>
      <c r="J23" s="57"/>
      <c r="K23" s="57"/>
      <c r="L23" s="57"/>
      <c r="M23" s="56"/>
      <c r="N23" s="56"/>
      <c r="O23" s="128" t="s">
        <v>502</v>
      </c>
      <c r="P23" s="56" t="s">
        <v>319</v>
      </c>
      <c r="Q23" s="56" t="s">
        <v>319</v>
      </c>
      <c r="R23" s="56" t="s">
        <v>320</v>
      </c>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t="str">
        <f t="shared" si="4"/>
        <v/>
      </c>
      <c r="AS23" s="56">
        <f t="shared" si="5"/>
        <v>2</v>
      </c>
      <c r="AT23" s="56">
        <f t="shared" si="6"/>
        <v>1</v>
      </c>
      <c r="AU23" s="56" t="str">
        <f t="shared" si="7"/>
        <v/>
      </c>
      <c r="AV23" s="56">
        <f t="shared" si="9"/>
        <v>3</v>
      </c>
      <c r="AW23" s="56">
        <v>223</v>
      </c>
      <c r="AX23" s="56" t="s">
        <v>503</v>
      </c>
      <c r="AY23" s="59">
        <v>9071604336</v>
      </c>
      <c r="AZ23" s="56" t="s">
        <v>475</v>
      </c>
      <c r="BA23" s="59">
        <v>9016132846</v>
      </c>
      <c r="BB23" s="66" t="s">
        <v>326</v>
      </c>
      <c r="BC23" s="56">
        <v>5</v>
      </c>
      <c r="BD23" s="88"/>
      <c r="BE23" s="61"/>
      <c r="BF23" s="55"/>
    </row>
    <row r="24" spans="1:58" s="54" customFormat="1" ht="24.6" customHeight="1" x14ac:dyDescent="0.45">
      <c r="A24" s="72">
        <v>20</v>
      </c>
      <c r="B24" s="57" t="s">
        <v>504</v>
      </c>
      <c r="C24" s="57"/>
      <c r="D24" s="57"/>
      <c r="E24" s="57"/>
      <c r="F24" s="57"/>
      <c r="G24" s="57"/>
      <c r="H24" s="57"/>
      <c r="I24" s="57"/>
      <c r="J24" s="57"/>
      <c r="K24" s="57"/>
      <c r="L24" s="57"/>
      <c r="M24" s="56"/>
      <c r="N24" s="56"/>
      <c r="O24" s="56"/>
      <c r="P24" s="56"/>
      <c r="Q24" s="56"/>
      <c r="R24" s="56"/>
      <c r="S24" s="56"/>
      <c r="T24" s="56"/>
      <c r="U24" s="56"/>
      <c r="V24" s="56"/>
      <c r="W24" s="56"/>
      <c r="X24" s="56"/>
      <c r="Y24" s="56"/>
      <c r="Z24" s="127"/>
      <c r="AA24" s="56"/>
      <c r="AB24" s="56"/>
      <c r="AC24" s="56"/>
      <c r="AD24" s="56"/>
      <c r="AE24" s="56"/>
      <c r="AF24" s="56"/>
      <c r="AG24" s="56"/>
      <c r="AH24" s="56"/>
      <c r="AI24" s="56"/>
      <c r="AJ24" s="56"/>
      <c r="AK24" s="56" t="s">
        <v>318</v>
      </c>
      <c r="AL24" s="56" t="s">
        <v>319</v>
      </c>
      <c r="AM24" s="56" t="s">
        <v>320</v>
      </c>
      <c r="AN24" s="56"/>
      <c r="AO24" s="56"/>
      <c r="AP24" s="56"/>
      <c r="AQ24" s="56"/>
      <c r="AR24" s="56"/>
      <c r="AS24" s="56"/>
      <c r="AT24" s="56"/>
      <c r="AU24" s="56"/>
      <c r="AV24" s="56"/>
      <c r="AW24" s="56"/>
      <c r="AX24" s="56" t="s">
        <v>505</v>
      </c>
      <c r="AY24" s="59">
        <v>9047708595</v>
      </c>
      <c r="AZ24" s="56" t="s">
        <v>506</v>
      </c>
      <c r="BA24" s="59"/>
      <c r="BB24" s="66" t="s">
        <v>326</v>
      </c>
      <c r="BC24" s="56">
        <v>5</v>
      </c>
      <c r="BD24" s="88"/>
      <c r="BE24" s="61"/>
      <c r="BF24" s="55"/>
    </row>
    <row r="25" spans="1:58" s="54" customFormat="1" ht="24.6" customHeight="1" x14ac:dyDescent="0.45">
      <c r="A25" s="72">
        <v>21</v>
      </c>
      <c r="B25" s="57" t="s">
        <v>507</v>
      </c>
      <c r="C25" s="57"/>
      <c r="D25" s="57"/>
      <c r="E25" s="57"/>
      <c r="F25" s="57"/>
      <c r="G25" s="57"/>
      <c r="H25" s="57"/>
      <c r="I25" s="57"/>
      <c r="J25" s="57"/>
      <c r="K25" s="57"/>
      <c r="L25" s="57"/>
      <c r="M25" s="56"/>
      <c r="N25" s="56"/>
      <c r="O25" s="56"/>
      <c r="P25" s="56"/>
      <c r="Q25" s="56"/>
      <c r="R25" s="56"/>
      <c r="S25" s="56"/>
      <c r="T25" s="56"/>
      <c r="U25" s="56"/>
      <c r="V25" s="56"/>
      <c r="W25" s="56"/>
      <c r="X25" s="56"/>
      <c r="Y25" s="56"/>
      <c r="Z25" s="127"/>
      <c r="AA25" s="56"/>
      <c r="AB25" s="56"/>
      <c r="AC25" s="56"/>
      <c r="AD25" s="56"/>
      <c r="AE25" s="56"/>
      <c r="AF25" s="56"/>
      <c r="AG25" s="56"/>
      <c r="AH25" s="56"/>
      <c r="AI25" s="56"/>
      <c r="AJ25" s="56" t="s">
        <v>318</v>
      </c>
      <c r="AK25" s="76" t="s">
        <v>319</v>
      </c>
      <c r="AL25" s="56" t="s">
        <v>319</v>
      </c>
      <c r="AM25" s="56" t="s">
        <v>319</v>
      </c>
      <c r="AN25" s="56" t="s">
        <v>319</v>
      </c>
      <c r="AO25" s="56" t="s">
        <v>319</v>
      </c>
      <c r="AP25" s="76" t="s">
        <v>319</v>
      </c>
      <c r="AQ25" s="56" t="s">
        <v>319</v>
      </c>
      <c r="AR25" s="56"/>
      <c r="AS25" s="56"/>
      <c r="AT25" s="56"/>
      <c r="AU25" s="56"/>
      <c r="AV25" s="56"/>
      <c r="AW25" s="56"/>
      <c r="AX25" s="56" t="s">
        <v>362</v>
      </c>
      <c r="AY25" s="59">
        <v>9075855328</v>
      </c>
      <c r="AZ25" s="56" t="s">
        <v>336</v>
      </c>
      <c r="BA25" s="59">
        <v>8039162381</v>
      </c>
      <c r="BB25" s="66"/>
      <c r="BC25" s="56">
        <v>1</v>
      </c>
      <c r="BD25" s="88"/>
      <c r="BE25" s="61"/>
      <c r="BF25" s="55"/>
    </row>
    <row r="26" spans="1:58" s="54" customFormat="1" ht="24.6" customHeight="1" x14ac:dyDescent="0.45">
      <c r="A26" s="72">
        <v>22</v>
      </c>
      <c r="B26" s="57" t="s">
        <v>508</v>
      </c>
      <c r="C26" s="57"/>
      <c r="D26" s="57"/>
      <c r="E26" s="57"/>
      <c r="F26" s="57"/>
      <c r="G26" s="57"/>
      <c r="H26" s="57"/>
      <c r="I26" s="57"/>
      <c r="J26" s="57"/>
      <c r="K26" s="57"/>
      <c r="L26" s="57"/>
      <c r="M26" s="56"/>
      <c r="N26" s="56"/>
      <c r="O26" s="56"/>
      <c r="P26" s="56"/>
      <c r="Q26" s="56"/>
      <c r="R26" s="56"/>
      <c r="S26" s="56"/>
      <c r="T26" s="56"/>
      <c r="U26" s="56"/>
      <c r="V26" s="56"/>
      <c r="W26" s="56"/>
      <c r="X26" s="56"/>
      <c r="Y26" s="56"/>
      <c r="Z26" s="127"/>
      <c r="AA26" s="56"/>
      <c r="AB26" s="56"/>
      <c r="AC26" s="56"/>
      <c r="AD26" s="56"/>
      <c r="AE26" s="56"/>
      <c r="AF26" s="56"/>
      <c r="AG26" s="56"/>
      <c r="AH26" s="56"/>
      <c r="AI26" s="56"/>
      <c r="AJ26" s="56"/>
      <c r="AK26" s="56"/>
      <c r="AL26" s="56"/>
      <c r="AM26" s="56"/>
      <c r="AN26" s="58" t="s">
        <v>318</v>
      </c>
      <c r="AO26" s="58" t="s">
        <v>482</v>
      </c>
      <c r="AP26" s="56"/>
      <c r="AQ26" s="56"/>
      <c r="AR26" s="56"/>
      <c r="AS26" s="56"/>
      <c r="AT26" s="56"/>
      <c r="AU26" s="56"/>
      <c r="AV26" s="56"/>
      <c r="AW26" s="56"/>
      <c r="AX26" s="56" t="s">
        <v>509</v>
      </c>
      <c r="AY26" s="59">
        <v>9019431314</v>
      </c>
      <c r="AZ26" s="56" t="s">
        <v>475</v>
      </c>
      <c r="BA26" s="59">
        <v>9016132846</v>
      </c>
      <c r="BB26" s="66"/>
      <c r="BC26" s="56"/>
      <c r="BD26" s="88"/>
      <c r="BE26" s="61"/>
      <c r="BF26" s="55"/>
    </row>
    <row r="27" spans="1:58" s="54" customFormat="1" ht="24.6" customHeight="1" x14ac:dyDescent="0.45">
      <c r="A27" s="72">
        <v>23</v>
      </c>
      <c r="B27" s="57"/>
      <c r="C27" s="57"/>
      <c r="D27" s="57"/>
      <c r="E27" s="57"/>
      <c r="F27" s="57"/>
      <c r="G27" s="57"/>
      <c r="H27" s="57"/>
      <c r="I27" s="57"/>
      <c r="J27" s="57"/>
      <c r="K27" s="57"/>
      <c r="L27" s="57"/>
      <c r="M27" s="56"/>
      <c r="N27" s="64"/>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t="str">
        <f t="shared" si="4"/>
        <v/>
      </c>
      <c r="AS27" s="56" t="str">
        <f t="shared" si="5"/>
        <v/>
      </c>
      <c r="AT27" s="56" t="str">
        <f t="shared" si="6"/>
        <v/>
      </c>
      <c r="AU27" s="56" t="str">
        <f t="shared" si="7"/>
        <v/>
      </c>
      <c r="AV27" s="56" t="str">
        <f t="shared" si="9"/>
        <v/>
      </c>
      <c r="AW27" s="56"/>
      <c r="AX27" s="56"/>
      <c r="AY27" s="59"/>
      <c r="AZ27" s="56"/>
      <c r="BA27" s="59"/>
      <c r="BB27" s="66"/>
      <c r="BC27" s="56"/>
      <c r="BD27" s="88"/>
      <c r="BE27" s="61"/>
      <c r="BF27" s="55"/>
    </row>
    <row r="28" spans="1:58" s="54" customFormat="1" ht="24.6" customHeight="1" x14ac:dyDescent="0.45">
      <c r="A28" s="72"/>
      <c r="B28" s="57" t="s">
        <v>387</v>
      </c>
      <c r="C28" s="57"/>
      <c r="D28" s="57"/>
      <c r="E28" s="57"/>
      <c r="F28" s="57"/>
      <c r="G28" s="57"/>
      <c r="H28" s="57"/>
      <c r="I28" s="57"/>
      <c r="J28" s="57"/>
      <c r="K28" s="57"/>
      <c r="L28" s="57"/>
      <c r="M28" s="56">
        <f>COUNTIF(M5:M27,"朝")+COUNTIF(M5:M27,"昼")+COUNTIF(M5:M27,"夕")+COUNTIF(M5:M27,"お")+COUNTIF(M5:M27,"○")</f>
        <v>7</v>
      </c>
      <c r="N28" s="56">
        <f>COUNTIF(N5:N27,"朝")+COUNTIF(N5:N27,"昼")+COUNTIF(N5:N27,"夕")+COUNTIF(N5:N27,"お")+COUNTIF(N5:N27,"○")</f>
        <v>8</v>
      </c>
      <c r="O28" s="56">
        <v>8</v>
      </c>
      <c r="P28" s="56">
        <f>COUNTIF(P5:P27,"朝")+COUNTIF(P5:P27,"昼")+COUNTIF(P5:P27,"夕")+COUNTIF(P5:P27,"お")+COUNTIF(P5:P27,"○")</f>
        <v>8</v>
      </c>
      <c r="Q28" s="56">
        <v>9</v>
      </c>
      <c r="R28" s="56">
        <f t="shared" ref="R28:AQ28" si="22">COUNTIF(R5:R27,"朝")+COUNTIF(R5:R27,"昼")+COUNTIF(R5:R27,"夕")+COUNTIF(R5:R27,"お")+COUNTIF(R5:R27,"○")</f>
        <v>8</v>
      </c>
      <c r="S28" s="56">
        <f t="shared" si="22"/>
        <v>7</v>
      </c>
      <c r="T28" s="56">
        <f t="shared" si="22"/>
        <v>8</v>
      </c>
      <c r="U28" s="56">
        <f t="shared" si="22"/>
        <v>8</v>
      </c>
      <c r="V28" s="56">
        <f t="shared" si="22"/>
        <v>7</v>
      </c>
      <c r="W28" s="56">
        <f t="shared" si="22"/>
        <v>7</v>
      </c>
      <c r="X28" s="56">
        <f t="shared" si="22"/>
        <v>8</v>
      </c>
      <c r="Y28" s="56">
        <f t="shared" si="22"/>
        <v>6</v>
      </c>
      <c r="Z28" s="56">
        <f t="shared" si="22"/>
        <v>5</v>
      </c>
      <c r="AA28" s="56">
        <f t="shared" si="22"/>
        <v>5</v>
      </c>
      <c r="AB28" s="56">
        <f t="shared" si="22"/>
        <v>6</v>
      </c>
      <c r="AC28" s="56">
        <f t="shared" si="22"/>
        <v>6</v>
      </c>
      <c r="AD28" s="56">
        <f t="shared" si="22"/>
        <v>5</v>
      </c>
      <c r="AE28" s="56">
        <f t="shared" si="22"/>
        <v>6</v>
      </c>
      <c r="AF28" s="56">
        <f t="shared" si="22"/>
        <v>5</v>
      </c>
      <c r="AG28" s="56">
        <f t="shared" si="22"/>
        <v>6</v>
      </c>
      <c r="AH28" s="56">
        <f t="shared" si="22"/>
        <v>6</v>
      </c>
      <c r="AI28" s="56">
        <f t="shared" si="22"/>
        <v>7</v>
      </c>
      <c r="AJ28" s="56">
        <f t="shared" si="22"/>
        <v>7</v>
      </c>
      <c r="AK28" s="56">
        <f t="shared" si="22"/>
        <v>6</v>
      </c>
      <c r="AL28" s="56">
        <f t="shared" si="22"/>
        <v>8</v>
      </c>
      <c r="AM28" s="56">
        <f t="shared" si="22"/>
        <v>6</v>
      </c>
      <c r="AN28" s="56">
        <f t="shared" si="22"/>
        <v>7</v>
      </c>
      <c r="AO28" s="56">
        <f t="shared" si="22"/>
        <v>8</v>
      </c>
      <c r="AP28" s="56">
        <f t="shared" si="22"/>
        <v>7</v>
      </c>
      <c r="AQ28" s="56">
        <f t="shared" si="22"/>
        <v>7</v>
      </c>
      <c r="AR28" s="56">
        <f>COUNTIF(AR6:AR27,"朝")+COUNTIF(AR6:AR27,"昼")+COUNTIF(AR6:AR27,"夕")+COUNTIF(AR6:AR27,"お")+COUNTIF(AR6:AR27,"○")</f>
        <v>0</v>
      </c>
      <c r="AS28" s="56">
        <f>COUNTIF(AS6:AS27,"朝")+COUNTIF(AS6:AS27,"昼")+COUNTIF(AS6:AS27,"夕")+COUNTIF(AS6:AS27,"お")+COUNTIF(AS6:AS27,"○")</f>
        <v>0</v>
      </c>
      <c r="AT28" s="56">
        <f>COUNTIF(AT6:AT27,"朝")+COUNTIF(AT6:AT27,"昼")+COUNTIF(AT6:AT27,"夕")+COUNTIF(AT6:AT27,"お")+COUNTIF(AT6:AT27,"○")</f>
        <v>0</v>
      </c>
      <c r="AU28" s="56">
        <f>COUNTIF(AU6:AU27,"朝")+COUNTIF(AU6:AU27,"昼")+COUNTIF(AU6:AU27,"夕")+COUNTIF(AU6:AU27,"お")+COUNTIF(AU6:AU27,"○")</f>
        <v>0</v>
      </c>
      <c r="AV28" s="56">
        <f>SUM(M28:AQ28)</f>
        <v>212</v>
      </c>
      <c r="AW28" s="56"/>
      <c r="AX28" s="63" t="s">
        <v>388</v>
      </c>
      <c r="AY28" s="56" t="s">
        <v>389</v>
      </c>
      <c r="AZ28" s="56"/>
      <c r="BA28" s="56"/>
      <c r="BB28" s="56"/>
      <c r="BC28" s="118" t="s">
        <v>390</v>
      </c>
      <c r="BD28" s="88"/>
      <c r="BE28" s="61"/>
      <c r="BF28" s="55"/>
    </row>
    <row r="29" spans="1:58" s="54" customFormat="1" ht="24.6" customHeight="1" x14ac:dyDescent="0.45">
      <c r="A29" s="72"/>
      <c r="B29" s="45" t="s">
        <v>391</v>
      </c>
      <c r="C29" s="57"/>
      <c r="D29" s="57"/>
      <c r="E29" s="57"/>
      <c r="F29" s="57"/>
      <c r="G29" s="57"/>
      <c r="H29" s="57"/>
      <c r="I29" s="57"/>
      <c r="J29" s="57"/>
      <c r="K29" s="57"/>
      <c r="L29" s="57"/>
      <c r="M29" s="56">
        <f>8-M28</f>
        <v>1</v>
      </c>
      <c r="N29" s="56">
        <f t="shared" ref="N29:AQ29" si="23">8-N28</f>
        <v>0</v>
      </c>
      <c r="O29" s="56">
        <f t="shared" si="23"/>
        <v>0</v>
      </c>
      <c r="P29" s="56">
        <f t="shared" si="23"/>
        <v>0</v>
      </c>
      <c r="Q29" s="56">
        <f t="shared" si="23"/>
        <v>-1</v>
      </c>
      <c r="R29" s="56">
        <f t="shared" si="23"/>
        <v>0</v>
      </c>
      <c r="S29" s="56">
        <f t="shared" si="23"/>
        <v>1</v>
      </c>
      <c r="T29" s="56">
        <f t="shared" si="23"/>
        <v>0</v>
      </c>
      <c r="U29" s="56">
        <f t="shared" si="23"/>
        <v>0</v>
      </c>
      <c r="V29" s="56">
        <f t="shared" si="23"/>
        <v>1</v>
      </c>
      <c r="W29" s="56">
        <f t="shared" si="23"/>
        <v>1</v>
      </c>
      <c r="X29" s="56">
        <f t="shared" si="23"/>
        <v>0</v>
      </c>
      <c r="Y29" s="56">
        <f t="shared" si="23"/>
        <v>2</v>
      </c>
      <c r="Z29" s="56">
        <f t="shared" si="23"/>
        <v>3</v>
      </c>
      <c r="AA29" s="56">
        <f t="shared" si="23"/>
        <v>3</v>
      </c>
      <c r="AB29" s="56">
        <f t="shared" si="23"/>
        <v>2</v>
      </c>
      <c r="AC29" s="56">
        <f t="shared" si="23"/>
        <v>2</v>
      </c>
      <c r="AD29" s="56">
        <f t="shared" si="23"/>
        <v>3</v>
      </c>
      <c r="AE29" s="56">
        <f t="shared" si="23"/>
        <v>2</v>
      </c>
      <c r="AF29" s="56">
        <f t="shared" si="23"/>
        <v>3</v>
      </c>
      <c r="AG29" s="56">
        <f t="shared" si="23"/>
        <v>2</v>
      </c>
      <c r="AH29" s="56">
        <f t="shared" si="23"/>
        <v>2</v>
      </c>
      <c r="AI29" s="56">
        <f t="shared" si="23"/>
        <v>1</v>
      </c>
      <c r="AJ29" s="56">
        <f t="shared" si="23"/>
        <v>1</v>
      </c>
      <c r="AK29" s="56">
        <f t="shared" si="23"/>
        <v>2</v>
      </c>
      <c r="AL29" s="56">
        <f t="shared" si="23"/>
        <v>0</v>
      </c>
      <c r="AM29" s="56">
        <f t="shared" si="23"/>
        <v>2</v>
      </c>
      <c r="AN29" s="56">
        <f t="shared" si="23"/>
        <v>1</v>
      </c>
      <c r="AO29" s="56">
        <f t="shared" si="23"/>
        <v>0</v>
      </c>
      <c r="AP29" s="56">
        <f t="shared" si="23"/>
        <v>1</v>
      </c>
      <c r="AQ29" s="56">
        <f t="shared" si="23"/>
        <v>1</v>
      </c>
      <c r="AR29" s="56"/>
      <c r="AS29" s="56"/>
      <c r="AT29" s="56"/>
      <c r="AU29" s="56"/>
      <c r="AV29" s="56">
        <f t="shared" ref="AV29" si="24">SUM(M29:AQ29)</f>
        <v>36</v>
      </c>
      <c r="AW29" s="56"/>
      <c r="AX29" s="63">
        <f>AVERAGE(M28:AQ28)</f>
        <v>6.838709677419355</v>
      </c>
      <c r="AY29" s="65">
        <f>8*365/12-AV28</f>
        <v>31.333333333333343</v>
      </c>
      <c r="AZ29" s="65"/>
      <c r="BA29" s="65"/>
      <c r="BB29" s="56"/>
      <c r="BC29" s="63">
        <f>AVERAGE(BC5:BC28)</f>
        <v>3.0476190476190474</v>
      </c>
      <c r="BD29" s="88"/>
      <c r="BE29" s="61"/>
      <c r="BF29" s="55"/>
    </row>
    <row r="30" spans="1:58" s="54" customFormat="1" ht="24" customHeight="1" x14ac:dyDescent="0.45">
      <c r="A30" s="72"/>
      <c r="B30" s="57" t="s">
        <v>392</v>
      </c>
      <c r="C30" s="57"/>
      <c r="D30" s="57"/>
      <c r="E30" s="57"/>
      <c r="F30" s="57"/>
      <c r="G30" s="57"/>
      <c r="H30" s="57"/>
      <c r="I30" s="57"/>
      <c r="J30" s="57"/>
      <c r="K30" s="57"/>
      <c r="L30" s="57"/>
      <c r="M30" s="56">
        <f t="shared" ref="M30:AQ30" si="25">COUNTIF(M5:M27,"昼")</f>
        <v>2</v>
      </c>
      <c r="N30" s="56">
        <f t="shared" si="25"/>
        <v>2</v>
      </c>
      <c r="O30" s="56">
        <f t="shared" si="25"/>
        <v>1</v>
      </c>
      <c r="P30" s="56">
        <f t="shared" si="25"/>
        <v>2</v>
      </c>
      <c r="Q30" s="56">
        <f t="shared" si="25"/>
        <v>1</v>
      </c>
      <c r="R30" s="56">
        <f t="shared" si="25"/>
        <v>0</v>
      </c>
      <c r="S30" s="56">
        <f t="shared" si="25"/>
        <v>3</v>
      </c>
      <c r="T30" s="56">
        <f t="shared" si="25"/>
        <v>2</v>
      </c>
      <c r="U30" s="56">
        <f t="shared" si="25"/>
        <v>3</v>
      </c>
      <c r="V30" s="56">
        <f t="shared" si="25"/>
        <v>1</v>
      </c>
      <c r="W30" s="56">
        <f t="shared" si="25"/>
        <v>2</v>
      </c>
      <c r="X30" s="56">
        <f t="shared" si="25"/>
        <v>2</v>
      </c>
      <c r="Y30" s="56">
        <f t="shared" si="25"/>
        <v>0</v>
      </c>
      <c r="Z30" s="56">
        <f t="shared" si="25"/>
        <v>2</v>
      </c>
      <c r="AA30" s="56">
        <f t="shared" si="25"/>
        <v>1</v>
      </c>
      <c r="AB30" s="56">
        <f t="shared" si="25"/>
        <v>2</v>
      </c>
      <c r="AC30" s="56">
        <f t="shared" si="25"/>
        <v>2</v>
      </c>
      <c r="AD30" s="56">
        <f t="shared" si="25"/>
        <v>1</v>
      </c>
      <c r="AE30" s="56">
        <f t="shared" si="25"/>
        <v>1</v>
      </c>
      <c r="AF30" s="56">
        <f t="shared" si="25"/>
        <v>1</v>
      </c>
      <c r="AG30" s="56">
        <f t="shared" si="25"/>
        <v>3</v>
      </c>
      <c r="AH30" s="56">
        <f t="shared" si="25"/>
        <v>1</v>
      </c>
      <c r="AI30" s="56">
        <f t="shared" si="25"/>
        <v>3</v>
      </c>
      <c r="AJ30" s="56">
        <f t="shared" si="25"/>
        <v>1</v>
      </c>
      <c r="AK30" s="56">
        <f t="shared" si="25"/>
        <v>2</v>
      </c>
      <c r="AL30" s="56">
        <f t="shared" si="25"/>
        <v>2</v>
      </c>
      <c r="AM30" s="56">
        <f t="shared" si="25"/>
        <v>0</v>
      </c>
      <c r="AN30" s="56">
        <f t="shared" si="25"/>
        <v>4</v>
      </c>
      <c r="AO30" s="56">
        <f t="shared" si="25"/>
        <v>2</v>
      </c>
      <c r="AP30" s="56">
        <f t="shared" si="25"/>
        <v>2</v>
      </c>
      <c r="AQ30" s="56">
        <f t="shared" si="25"/>
        <v>2</v>
      </c>
      <c r="AR30" s="56">
        <f>COUNTIF(AR5:AR5,"昼")</f>
        <v>0</v>
      </c>
      <c r="AS30" s="56">
        <f>COUNTIF(AS5:AS5,"昼")</f>
        <v>0</v>
      </c>
      <c r="AT30" s="56">
        <f>COUNTIF(AT5:AT5,"昼")</f>
        <v>0</v>
      </c>
      <c r="AU30" s="56">
        <f>COUNTIF(AU5:AU5,"昼")</f>
        <v>0</v>
      </c>
      <c r="AV30" s="56">
        <f t="shared" ref="AV30:AV32" si="26">SUM(M30:AQ30)</f>
        <v>53</v>
      </c>
      <c r="AW30" s="56"/>
      <c r="AX30" s="56"/>
      <c r="AY30" s="56" t="s">
        <v>393</v>
      </c>
      <c r="AZ30" s="56"/>
      <c r="BA30" s="56"/>
      <c r="BB30" s="66"/>
      <c r="BC30" s="66"/>
      <c r="BD30" s="67"/>
      <c r="BE30" s="61"/>
      <c r="BF30" s="55"/>
    </row>
    <row r="31" spans="1:58" s="54" customFormat="1" ht="24" customHeight="1" x14ac:dyDescent="0.45">
      <c r="A31" s="72"/>
      <c r="B31" s="57" t="s">
        <v>394</v>
      </c>
      <c r="C31" s="57"/>
      <c r="D31" s="57"/>
      <c r="E31" s="57"/>
      <c r="F31" s="57"/>
      <c r="G31" s="57"/>
      <c r="H31" s="57"/>
      <c r="I31" s="57"/>
      <c r="J31" s="57"/>
      <c r="K31" s="57"/>
      <c r="L31" s="57"/>
      <c r="M31" s="56">
        <f t="shared" ref="M31:AQ31" si="27">COUNTIF(M5:M28,"お")</f>
        <v>1</v>
      </c>
      <c r="N31" s="56">
        <f t="shared" si="27"/>
        <v>1</v>
      </c>
      <c r="O31" s="56">
        <f t="shared" si="27"/>
        <v>2</v>
      </c>
      <c r="P31" s="56">
        <f t="shared" si="27"/>
        <v>0</v>
      </c>
      <c r="Q31" s="56">
        <f t="shared" si="27"/>
        <v>1</v>
      </c>
      <c r="R31" s="56">
        <f t="shared" si="27"/>
        <v>4</v>
      </c>
      <c r="S31" s="56">
        <f t="shared" si="27"/>
        <v>0</v>
      </c>
      <c r="T31" s="56">
        <f t="shared" si="27"/>
        <v>1</v>
      </c>
      <c r="U31" s="56">
        <f t="shared" si="27"/>
        <v>1</v>
      </c>
      <c r="V31" s="56">
        <f t="shared" si="27"/>
        <v>2</v>
      </c>
      <c r="W31" s="56">
        <f t="shared" si="27"/>
        <v>0</v>
      </c>
      <c r="X31" s="56">
        <f t="shared" si="27"/>
        <v>0</v>
      </c>
      <c r="Y31" s="56">
        <f t="shared" si="27"/>
        <v>2</v>
      </c>
      <c r="Z31" s="56">
        <f t="shared" si="27"/>
        <v>0</v>
      </c>
      <c r="AA31" s="56">
        <f t="shared" si="27"/>
        <v>0</v>
      </c>
      <c r="AB31" s="56">
        <f t="shared" si="27"/>
        <v>1</v>
      </c>
      <c r="AC31" s="56">
        <f t="shared" si="27"/>
        <v>2</v>
      </c>
      <c r="AD31" s="56">
        <f t="shared" si="27"/>
        <v>0</v>
      </c>
      <c r="AE31" s="56">
        <f t="shared" si="27"/>
        <v>1</v>
      </c>
      <c r="AF31" s="56">
        <f t="shared" si="27"/>
        <v>2</v>
      </c>
      <c r="AG31" s="56">
        <f t="shared" si="27"/>
        <v>0</v>
      </c>
      <c r="AH31" s="56">
        <f t="shared" si="27"/>
        <v>1</v>
      </c>
      <c r="AI31" s="56">
        <f t="shared" si="27"/>
        <v>0</v>
      </c>
      <c r="AJ31" s="56">
        <f t="shared" si="27"/>
        <v>3</v>
      </c>
      <c r="AK31" s="56">
        <f t="shared" si="27"/>
        <v>0</v>
      </c>
      <c r="AL31" s="56">
        <f t="shared" si="27"/>
        <v>1</v>
      </c>
      <c r="AM31" s="56">
        <f t="shared" si="27"/>
        <v>3</v>
      </c>
      <c r="AN31" s="56">
        <f t="shared" si="27"/>
        <v>0</v>
      </c>
      <c r="AO31" s="56">
        <f t="shared" si="27"/>
        <v>1</v>
      </c>
      <c r="AP31" s="56">
        <f t="shared" si="27"/>
        <v>1</v>
      </c>
      <c r="AQ31" s="56">
        <f t="shared" si="27"/>
        <v>2</v>
      </c>
      <c r="AR31" s="56">
        <f>COUNTIF(AR5:AR27,"お")</f>
        <v>0</v>
      </c>
      <c r="AS31" s="56">
        <f>COUNTIF(AS5:AS27,"お")</f>
        <v>0</v>
      </c>
      <c r="AT31" s="56">
        <f>COUNTIF(AT5:AT27,"お")</f>
        <v>0</v>
      </c>
      <c r="AU31" s="56">
        <f>COUNTIF(AU5:AU27,"お")</f>
        <v>0</v>
      </c>
      <c r="AV31" s="56">
        <f t="shared" si="26"/>
        <v>33</v>
      </c>
      <c r="AW31" s="56"/>
      <c r="AX31" s="56"/>
      <c r="AY31" s="56"/>
      <c r="AZ31" s="56"/>
      <c r="BA31" s="56"/>
      <c r="BB31" s="66"/>
      <c r="BC31" s="66"/>
      <c r="BD31" s="67"/>
      <c r="BE31" s="61"/>
      <c r="BF31" s="55"/>
    </row>
    <row r="32" spans="1:58" s="54" customFormat="1" ht="24" customHeight="1" x14ac:dyDescent="0.45">
      <c r="A32" s="72"/>
      <c r="B32" s="57" t="s">
        <v>395</v>
      </c>
      <c r="C32" s="57"/>
      <c r="D32" s="57"/>
      <c r="E32" s="57"/>
      <c r="F32" s="57"/>
      <c r="G32" s="57"/>
      <c r="H32" s="57"/>
      <c r="I32" s="57"/>
      <c r="J32" s="57"/>
      <c r="K32" s="57"/>
      <c r="L32" s="57"/>
      <c r="M32" s="56">
        <f t="shared" ref="M32:AQ32" si="28">COUNTIF(M5:M27,"お")+COUNTIF(M5:M27,"夕")</f>
        <v>1</v>
      </c>
      <c r="N32" s="56">
        <f t="shared" si="28"/>
        <v>2</v>
      </c>
      <c r="O32" s="56">
        <f t="shared" si="28"/>
        <v>2</v>
      </c>
      <c r="P32" s="56">
        <f t="shared" si="28"/>
        <v>0</v>
      </c>
      <c r="Q32" s="56">
        <f t="shared" si="28"/>
        <v>1</v>
      </c>
      <c r="R32" s="56">
        <f t="shared" si="28"/>
        <v>4</v>
      </c>
      <c r="S32" s="56">
        <f t="shared" si="28"/>
        <v>1</v>
      </c>
      <c r="T32" s="56">
        <f t="shared" si="28"/>
        <v>3</v>
      </c>
      <c r="U32" s="56">
        <f t="shared" si="28"/>
        <v>2</v>
      </c>
      <c r="V32" s="56">
        <f t="shared" si="28"/>
        <v>2</v>
      </c>
      <c r="W32" s="56">
        <f t="shared" si="28"/>
        <v>0</v>
      </c>
      <c r="X32" s="56">
        <f t="shared" si="28"/>
        <v>1</v>
      </c>
      <c r="Y32" s="56">
        <f t="shared" si="28"/>
        <v>3</v>
      </c>
      <c r="Z32" s="56">
        <f t="shared" si="28"/>
        <v>1</v>
      </c>
      <c r="AA32" s="56">
        <f t="shared" si="28"/>
        <v>1</v>
      </c>
      <c r="AB32" s="56">
        <f t="shared" si="28"/>
        <v>2</v>
      </c>
      <c r="AC32" s="56">
        <f t="shared" si="28"/>
        <v>2</v>
      </c>
      <c r="AD32" s="56">
        <f t="shared" si="28"/>
        <v>0</v>
      </c>
      <c r="AE32" s="56">
        <f t="shared" si="28"/>
        <v>2</v>
      </c>
      <c r="AF32" s="56">
        <f t="shared" si="28"/>
        <v>2</v>
      </c>
      <c r="AG32" s="56">
        <f t="shared" si="28"/>
        <v>1</v>
      </c>
      <c r="AH32" s="56">
        <f t="shared" si="28"/>
        <v>2</v>
      </c>
      <c r="AI32" s="56">
        <f t="shared" si="28"/>
        <v>1</v>
      </c>
      <c r="AJ32" s="56">
        <f t="shared" si="28"/>
        <v>3</v>
      </c>
      <c r="AK32" s="56">
        <f t="shared" si="28"/>
        <v>0</v>
      </c>
      <c r="AL32" s="56">
        <f t="shared" si="28"/>
        <v>2</v>
      </c>
      <c r="AM32" s="56">
        <f t="shared" si="28"/>
        <v>3</v>
      </c>
      <c r="AN32" s="56">
        <f t="shared" si="28"/>
        <v>1</v>
      </c>
      <c r="AO32" s="56">
        <f t="shared" si="28"/>
        <v>2</v>
      </c>
      <c r="AP32" s="56">
        <f t="shared" si="28"/>
        <v>2</v>
      </c>
      <c r="AQ32" s="56">
        <f t="shared" si="28"/>
        <v>2</v>
      </c>
      <c r="AR32" s="56">
        <f>COUNTIF(AR5:AR5,"お")+COUNTIF(AR5:AR5,"夕")</f>
        <v>0</v>
      </c>
      <c r="AS32" s="56">
        <f>COUNTIF(AS5:AS5,"お")+COUNTIF(AS5:AS5,"夕")</f>
        <v>0</v>
      </c>
      <c r="AT32" s="56">
        <f>COUNTIF(AT5:AT5,"お")+COUNTIF(AT5:AT5,"夕")</f>
        <v>0</v>
      </c>
      <c r="AU32" s="56">
        <f>COUNTIF(AU5:AU5,"お")+COUNTIF(AU5:AU5,"夕")</f>
        <v>0</v>
      </c>
      <c r="AV32" s="56">
        <f t="shared" si="26"/>
        <v>51</v>
      </c>
      <c r="AW32" s="56"/>
      <c r="AX32" s="56"/>
      <c r="AY32" s="56"/>
      <c r="AZ32" s="56"/>
      <c r="BA32" s="56"/>
      <c r="BB32" s="66"/>
      <c r="BC32" s="66"/>
      <c r="BD32" s="88"/>
      <c r="BE32" s="61"/>
      <c r="BF32" s="55"/>
    </row>
    <row r="33" spans="1:58" s="54" customFormat="1" ht="24" customHeight="1" x14ac:dyDescent="0.45">
      <c r="A33" s="72"/>
      <c r="BB33" s="69"/>
      <c r="BC33" s="115"/>
      <c r="BD33" s="88"/>
      <c r="BE33" s="61"/>
      <c r="BF33" s="55"/>
    </row>
    <row r="34" spans="1:58" s="54" customFormat="1" ht="24" customHeight="1" x14ac:dyDescent="0.45">
      <c r="A34" s="72"/>
      <c r="BB34" s="69" t="s">
        <v>396</v>
      </c>
      <c r="BC34" s="115"/>
      <c r="BD34" s="88"/>
      <c r="BE34" s="61"/>
      <c r="BF34" s="55"/>
    </row>
    <row r="35" spans="1:58" s="54" customFormat="1" ht="24" customHeight="1" x14ac:dyDescent="0.45">
      <c r="A35" s="72"/>
      <c r="BB35" s="69"/>
      <c r="BC35" s="115"/>
      <c r="BD35" s="69"/>
      <c r="BE35" s="55"/>
    </row>
    <row r="36" spans="1:58" s="54" customFormat="1" ht="24" customHeight="1" x14ac:dyDescent="0.45">
      <c r="A36" s="72"/>
      <c r="BB36" s="69"/>
      <c r="BC36" s="115"/>
      <c r="BD36" s="69"/>
      <c r="BE36" s="53"/>
      <c r="BF36" s="55" t="s">
        <v>401</v>
      </c>
    </row>
    <row r="37" spans="1:58" s="54" customFormat="1" ht="24" customHeight="1" x14ac:dyDescent="0.45">
      <c r="A37" s="7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70"/>
      <c r="BC37" s="116"/>
      <c r="BD37" s="69"/>
      <c r="BE37" s="53"/>
      <c r="BF37" s="55"/>
    </row>
    <row r="38" spans="1:58" s="54" customFormat="1" ht="24" customHeight="1" x14ac:dyDescent="0.45">
      <c r="A38" s="73"/>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70"/>
      <c r="BC38" s="116"/>
      <c r="BD38" s="69"/>
      <c r="BE38" s="53"/>
      <c r="BF38" s="55"/>
    </row>
    <row r="39" spans="1:58" s="54" customFormat="1" ht="24" customHeight="1" x14ac:dyDescent="0.45">
      <c r="A39" s="53"/>
      <c r="B39" s="75" t="s">
        <v>489</v>
      </c>
      <c r="C39" s="57"/>
      <c r="D39" s="57"/>
      <c r="E39" s="57"/>
      <c r="F39" s="57"/>
      <c r="G39" s="57"/>
      <c r="H39" s="57"/>
      <c r="I39" s="57"/>
      <c r="J39" s="57"/>
      <c r="K39" s="57"/>
      <c r="L39" s="57"/>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t="str">
        <f t="shared" ref="AR39:AR44" si="29">IF(COUNTIF($M39:$AQ39,"昼")=0,"",COUNTIF($M39:$AQ39,"昼"))</f>
        <v/>
      </c>
      <c r="AS39" s="56" t="str">
        <f t="shared" ref="AS39:AS44" si="30">IF(COUNTIF($M39:$AQ39,"○")=0,"",COUNTIF($M39:$AQ39,"○"))</f>
        <v/>
      </c>
      <c r="AT39" s="56" t="str">
        <f t="shared" ref="AT39:AT44" si="31">IF(COUNTIF($M39:$AQ39,"お")=0,"",COUNTIF($M39:$AQ39,"お"))</f>
        <v/>
      </c>
      <c r="AU39" s="56" t="str">
        <f t="shared" ref="AU39:AU44" si="32">IF(COUNTIF($M39:$AQ39,"夕")=0,"",COUNTIF($M39:$AQ39,"夕"))</f>
        <v/>
      </c>
      <c r="AV39" s="56" t="str">
        <f t="shared" ref="AV39" si="33">IF(COUNTA(M39:AQ39)=0,"",SUM(AR39:AU39))</f>
        <v/>
      </c>
      <c r="AW39" s="56"/>
      <c r="AX39" s="56" t="s">
        <v>336</v>
      </c>
      <c r="AY39" s="59">
        <v>8039162381</v>
      </c>
      <c r="AZ39" s="59"/>
      <c r="BA39" s="59"/>
      <c r="BB39" s="66" t="s">
        <v>326</v>
      </c>
      <c r="BC39" s="66"/>
      <c r="BD39" s="70"/>
      <c r="BE39" s="53"/>
      <c r="BF39" s="55"/>
    </row>
    <row r="40" spans="1:58" s="54" customFormat="1" ht="24" customHeight="1" x14ac:dyDescent="0.45">
      <c r="A40" s="53"/>
      <c r="B40" s="57" t="s">
        <v>397</v>
      </c>
      <c r="C40" s="57"/>
      <c r="D40" s="57"/>
      <c r="E40" s="57"/>
      <c r="F40" s="57"/>
      <c r="G40" s="57"/>
      <c r="H40" s="57"/>
      <c r="I40" s="57"/>
      <c r="J40" s="57" t="str">
        <f t="shared" ref="J40:J41" si="34">IF(COUNTA(C40:I40)=0,"",COUNTA(C40:I40))</f>
        <v/>
      </c>
      <c r="K40" s="57"/>
      <c r="L40" s="57"/>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t="str">
        <f t="shared" si="29"/>
        <v/>
      </c>
      <c r="AS40" s="56" t="str">
        <f t="shared" si="30"/>
        <v/>
      </c>
      <c r="AT40" s="56" t="str">
        <f t="shared" si="31"/>
        <v/>
      </c>
      <c r="AU40" s="56" t="str">
        <f t="shared" si="32"/>
        <v/>
      </c>
      <c r="AV40" s="56" t="str">
        <f t="shared" ref="AV40:AV44" si="35">IF(COUNTA(M40:AQ40)=0,"",SUM(AR40:AU40))</f>
        <v/>
      </c>
      <c r="AW40" s="56"/>
      <c r="AX40" s="56" t="s">
        <v>398</v>
      </c>
      <c r="AY40" s="59">
        <v>9068599322</v>
      </c>
      <c r="AZ40" s="59"/>
      <c r="BA40" s="59"/>
      <c r="BB40" s="66"/>
      <c r="BC40" s="66"/>
      <c r="BD40" s="70"/>
      <c r="BE40" s="53"/>
      <c r="BF40" s="55"/>
    </row>
    <row r="41" spans="1:58" s="54" customFormat="1" ht="24" customHeight="1" x14ac:dyDescent="0.45">
      <c r="A41" s="53"/>
      <c r="B41" s="57" t="s">
        <v>399</v>
      </c>
      <c r="C41" s="57"/>
      <c r="D41" s="57"/>
      <c r="E41" s="57"/>
      <c r="F41" s="57"/>
      <c r="G41" s="57"/>
      <c r="H41" s="57"/>
      <c r="I41" s="57"/>
      <c r="J41" s="57" t="str">
        <f t="shared" si="34"/>
        <v/>
      </c>
      <c r="K41" s="57"/>
      <c r="L41" s="57"/>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t="str">
        <f t="shared" si="29"/>
        <v/>
      </c>
      <c r="AS41" s="56" t="str">
        <f t="shared" si="30"/>
        <v/>
      </c>
      <c r="AT41" s="56" t="str">
        <f t="shared" si="31"/>
        <v/>
      </c>
      <c r="AU41" s="56" t="str">
        <f t="shared" si="32"/>
        <v/>
      </c>
      <c r="AV41" s="56" t="str">
        <f t="shared" si="35"/>
        <v/>
      </c>
      <c r="AW41" s="56"/>
      <c r="AX41" s="56" t="s">
        <v>400</v>
      </c>
      <c r="AY41" s="59">
        <v>8046668865</v>
      </c>
      <c r="AZ41" s="59"/>
      <c r="BA41" s="59"/>
      <c r="BB41" s="66"/>
      <c r="BC41" s="66"/>
      <c r="BD41" s="88"/>
      <c r="BE41" s="53"/>
      <c r="BF41" s="55"/>
    </row>
    <row r="42" spans="1:58" s="54" customFormat="1" ht="26.4" customHeight="1" x14ac:dyDescent="0.45">
      <c r="A42" s="48"/>
      <c r="B42" s="75" t="s">
        <v>354</v>
      </c>
      <c r="C42" s="57"/>
      <c r="D42" s="57"/>
      <c r="E42" s="57"/>
      <c r="F42" s="57"/>
      <c r="G42" s="57"/>
      <c r="H42" s="57"/>
      <c r="I42" s="57"/>
      <c r="J42" s="57"/>
      <c r="K42" s="57"/>
      <c r="L42" s="57"/>
      <c r="M42" s="56"/>
      <c r="N42" s="56"/>
      <c r="O42" s="56"/>
      <c r="P42" s="56"/>
      <c r="Q42" s="56"/>
      <c r="R42" s="56"/>
      <c r="S42" s="56"/>
      <c r="T42" s="56"/>
      <c r="U42" s="56"/>
      <c r="V42" s="56"/>
      <c r="W42" s="58"/>
      <c r="X42" s="56"/>
      <c r="Y42" s="56"/>
      <c r="Z42" s="56"/>
      <c r="AA42" s="56"/>
      <c r="AB42" s="56"/>
      <c r="AC42" s="56"/>
      <c r="AD42" s="56"/>
      <c r="AE42" s="56"/>
      <c r="AF42" s="56"/>
      <c r="AG42" s="56"/>
      <c r="AH42" s="56"/>
      <c r="AI42" s="56"/>
      <c r="AJ42" s="56"/>
      <c r="AK42" s="56"/>
      <c r="AL42" s="56"/>
      <c r="AM42" s="56"/>
      <c r="AN42" s="56"/>
      <c r="AO42" s="56"/>
      <c r="AP42" s="56"/>
      <c r="AQ42" s="56"/>
      <c r="AR42" s="56" t="str">
        <f t="shared" si="29"/>
        <v/>
      </c>
      <c r="AS42" s="56" t="str">
        <f t="shared" si="30"/>
        <v/>
      </c>
      <c r="AT42" s="56" t="str">
        <f t="shared" si="31"/>
        <v/>
      </c>
      <c r="AU42" s="56" t="str">
        <f t="shared" si="32"/>
        <v/>
      </c>
      <c r="AV42" s="56" t="str">
        <f t="shared" si="35"/>
        <v/>
      </c>
      <c r="AW42" s="56"/>
      <c r="AX42" s="56" t="s">
        <v>490</v>
      </c>
      <c r="AY42" s="59">
        <v>9079299157</v>
      </c>
      <c r="AZ42" s="59"/>
      <c r="BA42" s="59"/>
      <c r="BB42" s="66" t="s">
        <v>326</v>
      </c>
      <c r="BC42" s="66"/>
      <c r="BD42" s="88"/>
      <c r="BE42" s="53"/>
      <c r="BF42" s="55"/>
    </row>
    <row r="43" spans="1:58" s="54" customFormat="1" ht="26.4" customHeight="1" x14ac:dyDescent="0.45">
      <c r="A43" s="48"/>
      <c r="B43" s="57" t="s">
        <v>376</v>
      </c>
      <c r="C43" s="57"/>
      <c r="D43" s="57"/>
      <c r="E43" s="57"/>
      <c r="F43" s="57"/>
      <c r="G43" s="57"/>
      <c r="H43" s="57"/>
      <c r="I43" s="57"/>
      <c r="J43" s="57" t="str">
        <f t="shared" ref="J43:J44" si="36">IF(COUNTA(C43:I43)=0,"",COUNTA(C43:I43))</f>
        <v/>
      </c>
      <c r="K43" s="57"/>
      <c r="L43" s="57"/>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t="str">
        <f t="shared" si="29"/>
        <v/>
      </c>
      <c r="AS43" s="56" t="str">
        <f t="shared" si="30"/>
        <v/>
      </c>
      <c r="AT43" s="56" t="str">
        <f t="shared" si="31"/>
        <v/>
      </c>
      <c r="AU43" s="56" t="str">
        <f t="shared" si="32"/>
        <v/>
      </c>
      <c r="AV43" s="56" t="str">
        <f t="shared" si="35"/>
        <v/>
      </c>
      <c r="AW43" s="56"/>
      <c r="AX43" s="56" t="s">
        <v>336</v>
      </c>
      <c r="AY43" s="59">
        <v>8039162381</v>
      </c>
      <c r="AZ43" s="59"/>
      <c r="BA43" s="59"/>
      <c r="BB43" s="66" t="s">
        <v>347</v>
      </c>
      <c r="BC43" s="66"/>
      <c r="BD43" s="88"/>
    </row>
    <row r="44" spans="1:58" s="54" customFormat="1" ht="26.4" customHeight="1" x14ac:dyDescent="0.45">
      <c r="A44" s="72">
        <v>18</v>
      </c>
      <c r="B44" s="57" t="s">
        <v>169</v>
      </c>
      <c r="C44" s="57" t="s">
        <v>491</v>
      </c>
      <c r="D44" s="57" t="s">
        <v>492</v>
      </c>
      <c r="E44" s="57" t="s">
        <v>493</v>
      </c>
      <c r="F44" s="57" t="s">
        <v>494</v>
      </c>
      <c r="G44" s="57"/>
      <c r="H44" s="57"/>
      <c r="I44" s="57"/>
      <c r="J44" s="57">
        <f t="shared" si="36"/>
        <v>4</v>
      </c>
      <c r="K44" s="57"/>
      <c r="L44" s="57"/>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t="str">
        <f t="shared" si="29"/>
        <v/>
      </c>
      <c r="AS44" s="56" t="str">
        <f t="shared" si="30"/>
        <v/>
      </c>
      <c r="AT44" s="56" t="str">
        <f t="shared" si="31"/>
        <v/>
      </c>
      <c r="AU44" s="56" t="str">
        <f t="shared" si="32"/>
        <v/>
      </c>
      <c r="AV44" s="56" t="str">
        <f t="shared" si="35"/>
        <v/>
      </c>
      <c r="AW44" s="56"/>
      <c r="AX44" s="56" t="s">
        <v>495</v>
      </c>
      <c r="AY44" s="59" t="s">
        <v>496</v>
      </c>
      <c r="AZ44" s="59"/>
      <c r="BA44" s="59"/>
      <c r="BB44" s="66"/>
      <c r="BC44" s="66"/>
      <c r="BD44" s="88"/>
      <c r="BE44" s="53"/>
    </row>
    <row r="45" spans="1:58" s="54" customFormat="1" ht="26.4" customHeight="1" x14ac:dyDescent="0.45">
      <c r="A45" s="72">
        <v>19</v>
      </c>
      <c r="B45" s="57" t="s">
        <v>367</v>
      </c>
      <c r="C45" s="57"/>
      <c r="D45" s="57"/>
      <c r="E45" s="57"/>
      <c r="F45" s="57"/>
      <c r="G45" s="57"/>
      <c r="H45" s="57"/>
      <c r="I45" s="57"/>
      <c r="J45" s="57"/>
      <c r="K45" s="57"/>
      <c r="L45" s="57"/>
      <c r="M45" s="56"/>
      <c r="N45" s="56"/>
      <c r="O45" s="56"/>
      <c r="P45" s="58"/>
      <c r="Q45" s="56"/>
      <c r="R45" s="56"/>
      <c r="S45" s="56"/>
      <c r="T45" s="56"/>
      <c r="U45" s="56"/>
      <c r="V45" s="56"/>
      <c r="W45" s="58"/>
      <c r="X45" s="56"/>
      <c r="Y45" s="56"/>
      <c r="Z45" s="56"/>
      <c r="AA45" s="56"/>
      <c r="AB45" s="56"/>
      <c r="AC45" s="56"/>
      <c r="AD45" s="58"/>
      <c r="AE45" s="58"/>
      <c r="AF45" s="56"/>
      <c r="AG45" s="56"/>
      <c r="AH45" s="56"/>
      <c r="AI45" s="56"/>
      <c r="AJ45" s="56"/>
      <c r="AK45" s="56"/>
      <c r="AL45" s="56"/>
      <c r="AM45" s="56"/>
      <c r="AN45" s="56"/>
      <c r="AO45" s="56"/>
      <c r="AP45" s="56"/>
      <c r="AQ45" s="56"/>
      <c r="AR45" s="56"/>
      <c r="AS45" s="56"/>
      <c r="AT45" s="56"/>
      <c r="AU45" s="56"/>
      <c r="AV45" s="56"/>
      <c r="AW45" s="56">
        <v>223</v>
      </c>
      <c r="AX45" s="56" t="s">
        <v>356</v>
      </c>
      <c r="AY45" s="59">
        <v>7012498633</v>
      </c>
      <c r="AZ45" s="56" t="s">
        <v>402</v>
      </c>
      <c r="BA45" s="59">
        <v>9057498087</v>
      </c>
      <c r="BB45" s="66" t="s">
        <v>326</v>
      </c>
      <c r="BC45" s="115"/>
      <c r="BD45" s="88"/>
      <c r="BE45" s="53"/>
    </row>
    <row r="46" spans="1:58" s="54" customFormat="1" ht="26.4" customHeight="1" x14ac:dyDescent="0.45">
      <c r="A46" s="72">
        <v>20</v>
      </c>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88"/>
      <c r="BE46" s="53"/>
    </row>
    <row r="47" spans="1:58" s="54" customFormat="1" ht="26.4" customHeight="1" x14ac:dyDescent="0.45">
      <c r="A47" s="72">
        <v>21</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70"/>
      <c r="BE47" s="53"/>
    </row>
    <row r="48" spans="1:58" s="54" customFormat="1" ht="21.6" x14ac:dyDescent="0.45">
      <c r="A48" s="72">
        <v>22</v>
      </c>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row>
    <row r="49" spans="1:58" s="54" customFormat="1" ht="21.6" x14ac:dyDescent="0.45">
      <c r="A49" s="72">
        <v>23</v>
      </c>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0" spans="1:58" s="54" customFormat="1" ht="21.6" x14ac:dyDescent="0.45">
      <c r="A50" s="48"/>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1.6" x14ac:dyDescent="0.45">
      <c r="A51" s="48"/>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3" spans="1:58" s="54" customFormat="1" ht="26.4" customHeight="1"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c r="BF53" s="55"/>
    </row>
    <row r="54" spans="1:58" s="54" customFormat="1" ht="26.4" customHeight="1"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c r="BF54" s="55"/>
    </row>
    <row r="55" spans="1:58" s="54" customFormat="1" ht="26.4" customHeight="1" x14ac:dyDescent="0.45">
      <c r="A55" s="48"/>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c r="BF55" s="55"/>
    </row>
    <row r="56" spans="1:58" s="54" customFormat="1" ht="26.4" customHeight="1"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c r="BF56" s="55"/>
    </row>
    <row r="57" spans="1:58" s="54" customFormat="1" ht="26.4" customHeight="1"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c r="BF57" s="55"/>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sheetData>
  <mergeCells count="19">
    <mergeCell ref="BD3:BD4"/>
    <mergeCell ref="AX3:AX4"/>
    <mergeCell ref="AY3:AY4"/>
    <mergeCell ref="AZ3:AZ4"/>
    <mergeCell ref="BA3:BA4"/>
    <mergeCell ref="BB3:BB4"/>
    <mergeCell ref="BC3:BC4"/>
    <mergeCell ref="A3:A4"/>
    <mergeCell ref="B3:B4"/>
    <mergeCell ref="C3:J4"/>
    <mergeCell ref="K3:L4"/>
    <mergeCell ref="AV3:AV4"/>
    <mergeCell ref="AW3:AW4"/>
    <mergeCell ref="P1:R2"/>
    <mergeCell ref="S1:S2"/>
    <mergeCell ref="T1:U2"/>
    <mergeCell ref="V1:AN2"/>
    <mergeCell ref="AQ1:AV1"/>
    <mergeCell ref="AO2:AV2"/>
  </mergeCells>
  <phoneticPr fontId="1"/>
  <conditionalFormatting sqref="M12:AJ12 AL12:AQ12 M27 O27:AQ27">
    <cfRule type="cellIs" dxfId="99" priority="9" operator="equal">
      <formula>"お"</formula>
    </cfRule>
    <cfRule type="cellIs" dxfId="98" priority="10" operator="equal">
      <formula>"夕"</formula>
    </cfRule>
  </conditionalFormatting>
  <conditionalFormatting sqref="M12:AJ12 AL12:AQ12">
    <cfRule type="cellIs" dxfId="97" priority="14" operator="equal">
      <formula>"""夕"""</formula>
    </cfRule>
  </conditionalFormatting>
  <conditionalFormatting sqref="M39:AQ39">
    <cfRule type="cellIs" dxfId="96" priority="11" operator="equal">
      <formula>"""夕"""</formula>
    </cfRule>
  </conditionalFormatting>
  <conditionalFormatting sqref="M42:AQ42">
    <cfRule type="cellIs" dxfId="95" priority="13" operator="equal">
      <formula>"""夕"""</formula>
    </cfRule>
  </conditionalFormatting>
  <conditionalFormatting sqref="M4:AU4">
    <cfRule type="cellIs" dxfId="94" priority="17" operator="equal">
      <formula>"土"</formula>
    </cfRule>
    <cfRule type="cellIs" dxfId="93" priority="18" operator="equal">
      <formula>"日"</formula>
    </cfRule>
  </conditionalFormatting>
  <conditionalFormatting sqref="M28:AU28">
    <cfRule type="cellIs" dxfId="92" priority="15" operator="greaterThan">
      <formula>7</formula>
    </cfRule>
    <cfRule type="cellIs" dxfId="91" priority="16" operator="greaterThan">
      <formula>6</formula>
    </cfRule>
  </conditionalFormatting>
  <conditionalFormatting sqref="M5:AW5 M6:AQ11 AR6:AW27 M13:AQ26">
    <cfRule type="cellIs" dxfId="90" priority="3" operator="equal">
      <formula>"お"</formula>
    </cfRule>
    <cfRule type="cellIs" dxfId="89" priority="4" operator="equal">
      <formula>"夕"</formula>
    </cfRule>
  </conditionalFormatting>
  <conditionalFormatting sqref="M39:AW45">
    <cfRule type="cellIs" dxfId="88" priority="7" operator="equal">
      <formula>"お"</formula>
    </cfRule>
    <cfRule type="cellIs" dxfId="87" priority="8" operator="equal">
      <formula>"夕"</formula>
    </cfRule>
  </conditionalFormatting>
  <conditionalFormatting sqref="AR39:AW39">
    <cfRule type="cellIs" dxfId="86" priority="12" operator="equal">
      <formula>"夕"</formula>
    </cfRule>
  </conditionalFormatting>
  <printOptions horizontalCentered="1" verticalCentered="1"/>
  <pageMargins left="0.7" right="0.7" top="0.75" bottom="0.75" header="0.3" footer="0.3"/>
  <pageSetup paperSize="9" scale="3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967C-C431-459A-98E6-436B20F76348}">
  <dimension ref="A1:BF62"/>
  <sheetViews>
    <sheetView zoomScale="70" zoomScaleNormal="70" workbookViewId="0">
      <pane ySplit="4" topLeftCell="A5" activePane="bottomLeft" state="frozen"/>
      <selection pane="bottomLeft" activeCell="B22" sqref="B22:BB22"/>
    </sheetView>
  </sheetViews>
  <sheetFormatPr defaultColWidth="8.69921875" defaultRowHeight="18" x14ac:dyDescent="0.45"/>
  <cols>
    <col min="1" max="1" width="4.69921875" style="48" customWidth="1"/>
    <col min="2" max="2" width="19.199218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20.6992187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4</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2.2"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1.6" customHeight="1" x14ac:dyDescent="0.45">
      <c r="A3" s="168"/>
      <c r="B3" s="170" t="s">
        <v>0</v>
      </c>
      <c r="C3" s="165" t="s">
        <v>309</v>
      </c>
      <c r="D3" s="165"/>
      <c r="E3" s="165"/>
      <c r="F3" s="165"/>
      <c r="G3" s="165"/>
      <c r="H3" s="165"/>
      <c r="I3" s="165"/>
      <c r="J3" s="165"/>
      <c r="K3" s="165" t="s">
        <v>310</v>
      </c>
      <c r="L3" s="165"/>
      <c r="M3" s="52">
        <f>BE4</f>
        <v>46113</v>
      </c>
      <c r="N3" s="52">
        <f t="shared" ref="N3:AQ3" si="0">IF(M3=$BE$6,"",IF(M3="","",M3+1))</f>
        <v>46114</v>
      </c>
      <c r="O3" s="52">
        <f t="shared" si="0"/>
        <v>46115</v>
      </c>
      <c r="P3" s="52">
        <f t="shared" si="0"/>
        <v>46116</v>
      </c>
      <c r="Q3" s="52">
        <f t="shared" si="0"/>
        <v>46117</v>
      </c>
      <c r="R3" s="52">
        <f t="shared" si="0"/>
        <v>46118</v>
      </c>
      <c r="S3" s="52">
        <f t="shared" si="0"/>
        <v>46119</v>
      </c>
      <c r="T3" s="52">
        <f t="shared" si="0"/>
        <v>46120</v>
      </c>
      <c r="U3" s="52">
        <f t="shared" si="0"/>
        <v>46121</v>
      </c>
      <c r="V3" s="52">
        <f t="shared" si="0"/>
        <v>46122</v>
      </c>
      <c r="W3" s="52">
        <f t="shared" si="0"/>
        <v>46123</v>
      </c>
      <c r="X3" s="52">
        <f t="shared" si="0"/>
        <v>46124</v>
      </c>
      <c r="Y3" s="52">
        <f t="shared" si="0"/>
        <v>46125</v>
      </c>
      <c r="Z3" s="52">
        <f t="shared" si="0"/>
        <v>46126</v>
      </c>
      <c r="AA3" s="52">
        <f t="shared" si="0"/>
        <v>46127</v>
      </c>
      <c r="AB3" s="52">
        <f t="shared" si="0"/>
        <v>46128</v>
      </c>
      <c r="AC3" s="52">
        <f t="shared" si="0"/>
        <v>46129</v>
      </c>
      <c r="AD3" s="52">
        <f t="shared" si="0"/>
        <v>46130</v>
      </c>
      <c r="AE3" s="52">
        <f t="shared" si="0"/>
        <v>46131</v>
      </c>
      <c r="AF3" s="52">
        <f t="shared" si="0"/>
        <v>46132</v>
      </c>
      <c r="AG3" s="52">
        <f t="shared" si="0"/>
        <v>46133</v>
      </c>
      <c r="AH3" s="52">
        <f t="shared" si="0"/>
        <v>46134</v>
      </c>
      <c r="AI3" s="52">
        <f t="shared" si="0"/>
        <v>46135</v>
      </c>
      <c r="AJ3" s="52">
        <f t="shared" si="0"/>
        <v>46136</v>
      </c>
      <c r="AK3" s="52">
        <f t="shared" si="0"/>
        <v>46137</v>
      </c>
      <c r="AL3" s="52">
        <f t="shared" si="0"/>
        <v>46138</v>
      </c>
      <c r="AM3" s="52">
        <f t="shared" si="0"/>
        <v>46139</v>
      </c>
      <c r="AN3" s="52">
        <f t="shared" si="0"/>
        <v>46140</v>
      </c>
      <c r="AO3" s="52">
        <f t="shared" si="0"/>
        <v>46141</v>
      </c>
      <c r="AP3" s="52">
        <f t="shared" si="0"/>
        <v>46142</v>
      </c>
      <c r="AQ3" s="52" t="str">
        <f t="shared" si="0"/>
        <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1.6" customHeight="1" x14ac:dyDescent="0.45">
      <c r="A4" s="169"/>
      <c r="B4" s="171"/>
      <c r="C4" s="165"/>
      <c r="D4" s="165"/>
      <c r="E4" s="165"/>
      <c r="F4" s="165"/>
      <c r="G4" s="165"/>
      <c r="H4" s="165"/>
      <c r="I4" s="165"/>
      <c r="J4" s="165"/>
      <c r="K4" s="165"/>
      <c r="L4" s="165"/>
      <c r="M4" s="153" t="str">
        <f t="shared" ref="M4:AQ4" si="1">IF(M3="","",TEXT(M3,"aaa"))</f>
        <v>水</v>
      </c>
      <c r="N4" s="153" t="str">
        <f t="shared" si="1"/>
        <v>木</v>
      </c>
      <c r="O4" s="153" t="str">
        <f t="shared" si="1"/>
        <v>金</v>
      </c>
      <c r="P4" s="153" t="str">
        <f t="shared" si="1"/>
        <v>土</v>
      </c>
      <c r="Q4" s="153" t="str">
        <f t="shared" si="1"/>
        <v>日</v>
      </c>
      <c r="R4" s="153" t="str">
        <f t="shared" si="1"/>
        <v>月</v>
      </c>
      <c r="S4" s="153" t="str">
        <f t="shared" si="1"/>
        <v>火</v>
      </c>
      <c r="T4" s="153" t="str">
        <f t="shared" si="1"/>
        <v>水</v>
      </c>
      <c r="U4" s="153" t="str">
        <f t="shared" si="1"/>
        <v>木</v>
      </c>
      <c r="V4" s="153" t="str">
        <f t="shared" si="1"/>
        <v>金</v>
      </c>
      <c r="W4" s="153" t="str">
        <f t="shared" si="1"/>
        <v>土</v>
      </c>
      <c r="X4" s="153" t="str">
        <f t="shared" si="1"/>
        <v>日</v>
      </c>
      <c r="Y4" s="153" t="str">
        <f t="shared" si="1"/>
        <v>月</v>
      </c>
      <c r="Z4" s="153" t="str">
        <f t="shared" si="1"/>
        <v>火</v>
      </c>
      <c r="AA4" s="153" t="str">
        <f t="shared" si="1"/>
        <v>水</v>
      </c>
      <c r="AB4" s="153" t="str">
        <f t="shared" si="1"/>
        <v>木</v>
      </c>
      <c r="AC4" s="153" t="str">
        <f t="shared" si="1"/>
        <v>金</v>
      </c>
      <c r="AD4" s="153" t="str">
        <f t="shared" si="1"/>
        <v>土</v>
      </c>
      <c r="AE4" s="153" t="str">
        <f t="shared" si="1"/>
        <v>日</v>
      </c>
      <c r="AF4" s="153" t="str">
        <f t="shared" si="1"/>
        <v>月</v>
      </c>
      <c r="AG4" s="153" t="str">
        <f t="shared" si="1"/>
        <v>火</v>
      </c>
      <c r="AH4" s="153" t="str">
        <f t="shared" si="1"/>
        <v>水</v>
      </c>
      <c r="AI4" s="153" t="str">
        <f t="shared" si="1"/>
        <v>木</v>
      </c>
      <c r="AJ4" s="153" t="str">
        <f t="shared" si="1"/>
        <v>金</v>
      </c>
      <c r="AK4" s="153" t="str">
        <f t="shared" si="1"/>
        <v>土</v>
      </c>
      <c r="AL4" s="153" t="str">
        <f t="shared" si="1"/>
        <v>日</v>
      </c>
      <c r="AM4" s="153" t="str">
        <f t="shared" si="1"/>
        <v>月</v>
      </c>
      <c r="AN4" s="153" t="str">
        <f t="shared" si="1"/>
        <v>火</v>
      </c>
      <c r="AO4" s="153" t="str">
        <f t="shared" si="1"/>
        <v>水</v>
      </c>
      <c r="AP4" s="153" t="str">
        <f t="shared" si="1"/>
        <v>木</v>
      </c>
      <c r="AQ4" s="153" t="str">
        <f t="shared" si="1"/>
        <v/>
      </c>
      <c r="AR4" s="153" t="s">
        <v>318</v>
      </c>
      <c r="AS4" s="153" t="s">
        <v>319</v>
      </c>
      <c r="AT4" s="153" t="s">
        <v>320</v>
      </c>
      <c r="AU4" s="153" t="s">
        <v>321</v>
      </c>
      <c r="AV4" s="165"/>
      <c r="AW4" s="171"/>
      <c r="AX4" s="165"/>
      <c r="AY4" s="165"/>
      <c r="AZ4" s="165"/>
      <c r="BA4" s="165"/>
      <c r="BB4" s="164"/>
      <c r="BC4" s="167"/>
      <c r="BD4" s="164"/>
      <c r="BE4" s="62">
        <f>DATE(P1,T1,1)</f>
        <v>46113</v>
      </c>
      <c r="BF4" s="55"/>
    </row>
    <row r="5" spans="1:58" s="54" customFormat="1" ht="21.6" customHeight="1" x14ac:dyDescent="0.45">
      <c r="A5" s="72">
        <v>1</v>
      </c>
      <c r="B5" s="57" t="s">
        <v>452</v>
      </c>
      <c r="C5" s="57" t="s">
        <v>453</v>
      </c>
      <c r="D5" s="57" t="s">
        <v>454</v>
      </c>
      <c r="E5" s="57" t="s">
        <v>455</v>
      </c>
      <c r="F5" s="57"/>
      <c r="G5" s="57"/>
      <c r="H5" s="57"/>
      <c r="I5" s="57"/>
      <c r="J5" s="57">
        <f t="shared" ref="J5" si="2">IF(COUNTA(C5:I5)=0,"",COUNTA(C5:I5))</f>
        <v>3</v>
      </c>
      <c r="K5" s="57"/>
      <c r="L5" s="57"/>
      <c r="M5" s="58" t="str">
        <f>IF(M$4="水","昼",IF(M$4="木","○",IF(M$4="金","お","")))</f>
        <v>昼</v>
      </c>
      <c r="N5" s="56" t="str">
        <f t="shared" ref="N5:AQ5" si="3">IF(N$4="水","昼",IF(N$4="木","○",IF(N$4="金","お","")))</f>
        <v>○</v>
      </c>
      <c r="O5" s="56" t="str">
        <f t="shared" si="3"/>
        <v>お</v>
      </c>
      <c r="P5" s="56" t="str">
        <f t="shared" si="3"/>
        <v/>
      </c>
      <c r="Q5" s="56" t="str">
        <f t="shared" si="3"/>
        <v/>
      </c>
      <c r="R5" s="56" t="str">
        <f t="shared" si="3"/>
        <v/>
      </c>
      <c r="S5" s="56" t="str">
        <f t="shared" si="3"/>
        <v/>
      </c>
      <c r="T5" s="58" t="str">
        <f t="shared" si="3"/>
        <v>昼</v>
      </c>
      <c r="U5" s="56" t="str">
        <f t="shared" si="3"/>
        <v>○</v>
      </c>
      <c r="V5" s="56" t="str">
        <f t="shared" si="3"/>
        <v>お</v>
      </c>
      <c r="W5" s="56" t="str">
        <f t="shared" si="3"/>
        <v/>
      </c>
      <c r="X5" s="56" t="str">
        <f t="shared" si="3"/>
        <v/>
      </c>
      <c r="Y5" s="56" t="str">
        <f t="shared" si="3"/>
        <v/>
      </c>
      <c r="Z5" s="56" t="str">
        <f t="shared" si="3"/>
        <v/>
      </c>
      <c r="AA5" s="58" t="str">
        <f t="shared" si="3"/>
        <v>昼</v>
      </c>
      <c r="AB5" s="56" t="str">
        <f t="shared" si="3"/>
        <v>○</v>
      </c>
      <c r="AC5" s="56" t="str">
        <f t="shared" si="3"/>
        <v>お</v>
      </c>
      <c r="AD5" s="56" t="str">
        <f t="shared" si="3"/>
        <v/>
      </c>
      <c r="AE5" s="56" t="str">
        <f t="shared" si="3"/>
        <v/>
      </c>
      <c r="AF5" s="56" t="str">
        <f t="shared" si="3"/>
        <v/>
      </c>
      <c r="AG5" s="56" t="str">
        <f t="shared" si="3"/>
        <v/>
      </c>
      <c r="AH5" s="58" t="str">
        <f t="shared" si="3"/>
        <v>昼</v>
      </c>
      <c r="AI5" s="56" t="str">
        <f t="shared" si="3"/>
        <v>○</v>
      </c>
      <c r="AJ5" s="56" t="str">
        <f t="shared" si="3"/>
        <v>お</v>
      </c>
      <c r="AK5" s="56" t="str">
        <f t="shared" si="3"/>
        <v/>
      </c>
      <c r="AL5" s="56" t="str">
        <f t="shared" si="3"/>
        <v/>
      </c>
      <c r="AM5" s="56" t="str">
        <f t="shared" si="3"/>
        <v/>
      </c>
      <c r="AN5" s="56" t="str">
        <f t="shared" si="3"/>
        <v/>
      </c>
      <c r="AO5" s="58" t="str">
        <f t="shared" si="3"/>
        <v>昼</v>
      </c>
      <c r="AP5" s="56" t="str">
        <f t="shared" si="3"/>
        <v>○</v>
      </c>
      <c r="AQ5" s="56" t="str">
        <f t="shared" si="3"/>
        <v/>
      </c>
      <c r="AR5" s="56">
        <f t="shared" ref="AR5:AR30" si="4">IF(COUNTIF($M5:$AQ5,"昼")=0,"",COUNTIF($M5:$AQ5,"昼"))</f>
        <v>5</v>
      </c>
      <c r="AS5" s="56">
        <f t="shared" ref="AS5:AS30" si="5">IF(COUNTIF($M5:$AQ5,"○")=0,"",COUNTIF($M5:$AQ5,"○"))</f>
        <v>5</v>
      </c>
      <c r="AT5" s="56">
        <f t="shared" ref="AT5:AT30" si="6">IF(COUNTIF($M5:$AQ5,"お")=0,"",COUNTIF($M5:$AQ5,"お"))</f>
        <v>4</v>
      </c>
      <c r="AU5" s="56" t="str">
        <f t="shared" ref="AU5:AU30" si="7">IF(COUNTIF($M5:$AQ5,"夕")=0,"",COUNTIF($M5:$AQ5,"夕"))</f>
        <v/>
      </c>
      <c r="AV5" s="56">
        <f t="shared" ref="AV5" si="8">IF(COUNTA(M5:AQ5)=0,"",SUM(AR5:AU5))</f>
        <v>14</v>
      </c>
      <c r="AW5" s="56" t="s">
        <v>330</v>
      </c>
      <c r="AX5" s="56" t="s">
        <v>457</v>
      </c>
      <c r="AY5" s="59">
        <v>7058129602</v>
      </c>
      <c r="AZ5" s="56" t="s">
        <v>458</v>
      </c>
      <c r="BA5" s="59">
        <v>9037964935</v>
      </c>
      <c r="BB5" s="66" t="s">
        <v>326</v>
      </c>
      <c r="BC5" s="141">
        <v>4</v>
      </c>
      <c r="BD5" s="88">
        <v>45626</v>
      </c>
      <c r="BE5" s="61" t="s">
        <v>327</v>
      </c>
      <c r="BF5" s="55" t="s">
        <v>328</v>
      </c>
    </row>
    <row r="6" spans="1:58" s="54" customFormat="1" ht="21.6" customHeight="1" x14ac:dyDescent="0.45">
      <c r="A6" s="72">
        <v>2</v>
      </c>
      <c r="B6" s="57" t="s">
        <v>322</v>
      </c>
      <c r="C6" s="57"/>
      <c r="D6" s="57"/>
      <c r="E6" s="57"/>
      <c r="F6" s="57"/>
      <c r="G6" s="57"/>
      <c r="H6" s="57"/>
      <c r="I6" s="57"/>
      <c r="J6" s="57"/>
      <c r="K6" s="57"/>
      <c r="L6" s="57"/>
      <c r="M6" s="56" t="str">
        <f>IF(M$4="土","昼",IF(M$4="日","○",IF(M$4="月","夕","")))</f>
        <v/>
      </c>
      <c r="N6" s="56" t="str">
        <f t="shared" ref="N6:AQ6" si="9">IF(N$4="土","昼",IF(N$4="日","○",IF(N$4="月","夕","")))</f>
        <v/>
      </c>
      <c r="O6" s="56" t="str">
        <f t="shared" si="9"/>
        <v/>
      </c>
      <c r="P6" s="58" t="str">
        <f t="shared" si="9"/>
        <v>昼</v>
      </c>
      <c r="Q6" s="56" t="str">
        <f t="shared" si="9"/>
        <v>○</v>
      </c>
      <c r="R6" s="58" t="str">
        <f t="shared" si="9"/>
        <v>夕</v>
      </c>
      <c r="S6" s="56" t="str">
        <f t="shared" si="9"/>
        <v/>
      </c>
      <c r="T6" s="56" t="str">
        <f t="shared" si="9"/>
        <v/>
      </c>
      <c r="U6" s="56" t="str">
        <f t="shared" si="9"/>
        <v/>
      </c>
      <c r="V6" s="56" t="str">
        <f t="shared" si="9"/>
        <v/>
      </c>
      <c r="W6" s="58" t="str">
        <f t="shared" si="9"/>
        <v>昼</v>
      </c>
      <c r="X6" s="56" t="str">
        <f t="shared" si="9"/>
        <v>○</v>
      </c>
      <c r="Y6" s="58" t="str">
        <f t="shared" si="9"/>
        <v>夕</v>
      </c>
      <c r="Z6" s="56" t="str">
        <f t="shared" si="9"/>
        <v/>
      </c>
      <c r="AA6" s="56" t="str">
        <f t="shared" si="9"/>
        <v/>
      </c>
      <c r="AB6" s="56" t="str">
        <f t="shared" si="9"/>
        <v/>
      </c>
      <c r="AC6" s="56" t="str">
        <f t="shared" si="9"/>
        <v/>
      </c>
      <c r="AD6" s="58" t="str">
        <f t="shared" si="9"/>
        <v>昼</v>
      </c>
      <c r="AE6" s="56" t="str">
        <f t="shared" si="9"/>
        <v>○</v>
      </c>
      <c r="AF6" s="58" t="str">
        <f t="shared" si="9"/>
        <v>夕</v>
      </c>
      <c r="AG6" s="56" t="str">
        <f t="shared" si="9"/>
        <v/>
      </c>
      <c r="AH6" s="56" t="str">
        <f t="shared" si="9"/>
        <v/>
      </c>
      <c r="AI6" s="56" t="str">
        <f t="shared" si="9"/>
        <v/>
      </c>
      <c r="AJ6" s="56" t="str">
        <f t="shared" si="9"/>
        <v/>
      </c>
      <c r="AK6" s="58" t="str">
        <f t="shared" si="9"/>
        <v>昼</v>
      </c>
      <c r="AL6" s="56" t="str">
        <f t="shared" si="9"/>
        <v>○</v>
      </c>
      <c r="AM6" s="58" t="str">
        <f t="shared" si="9"/>
        <v>夕</v>
      </c>
      <c r="AN6" s="56" t="str">
        <f t="shared" si="9"/>
        <v/>
      </c>
      <c r="AO6" s="56" t="str">
        <f t="shared" si="9"/>
        <v/>
      </c>
      <c r="AP6" s="56" t="str">
        <f t="shared" si="9"/>
        <v/>
      </c>
      <c r="AQ6" s="56" t="str">
        <f t="shared" si="9"/>
        <v/>
      </c>
      <c r="AR6" s="56">
        <f t="shared" si="4"/>
        <v>4</v>
      </c>
      <c r="AS6" s="56">
        <f t="shared" si="5"/>
        <v>4</v>
      </c>
      <c r="AT6" s="56" t="str">
        <f t="shared" si="6"/>
        <v/>
      </c>
      <c r="AU6" s="56">
        <f t="shared" si="7"/>
        <v>4</v>
      </c>
      <c r="AV6" s="56">
        <f t="shared" ref="AV6:AV8" si="10">IF(COUNTA(M6:AQ6)=0,"",SUM(AR6:AU6))</f>
        <v>12</v>
      </c>
      <c r="AW6" s="56" t="s">
        <v>323</v>
      </c>
      <c r="AX6" s="59" t="s">
        <v>324</v>
      </c>
      <c r="AY6" s="59">
        <v>8025513822</v>
      </c>
      <c r="AZ6" s="59" t="s">
        <v>325</v>
      </c>
      <c r="BA6" s="59">
        <v>8027251721</v>
      </c>
      <c r="BB6" s="66" t="s">
        <v>326</v>
      </c>
      <c r="BC6" s="56">
        <v>3</v>
      </c>
      <c r="BD6" s="88"/>
      <c r="BE6" s="62">
        <f>DATE(P1,T1+1,1)-1</f>
        <v>46142</v>
      </c>
      <c r="BF6" s="55" t="s">
        <v>333</v>
      </c>
    </row>
    <row r="7" spans="1:58" s="54" customFormat="1" ht="21.6" customHeight="1" x14ac:dyDescent="0.45">
      <c r="A7" s="72">
        <v>3</v>
      </c>
      <c r="B7" s="57" t="s">
        <v>329</v>
      </c>
      <c r="C7" s="57"/>
      <c r="D7" s="57"/>
      <c r="E7" s="57"/>
      <c r="F7" s="57"/>
      <c r="G7" s="57"/>
      <c r="H7" s="57"/>
      <c r="I7" s="57"/>
      <c r="J7" s="57"/>
      <c r="K7" s="57"/>
      <c r="L7" s="57"/>
      <c r="M7" s="56" t="str">
        <f>IF(M$4="土","昼",IF(M$4="日","夕",""))</f>
        <v/>
      </c>
      <c r="N7" s="56" t="str">
        <f t="shared" ref="N7:AQ7" si="11">IF(N$4="土","昼",IF(N$4="日","夕",""))</f>
        <v/>
      </c>
      <c r="O7" s="56" t="str">
        <f t="shared" si="11"/>
        <v/>
      </c>
      <c r="P7" s="58" t="str">
        <f t="shared" si="11"/>
        <v>昼</v>
      </c>
      <c r="Q7" s="58" t="str">
        <f t="shared" si="11"/>
        <v>夕</v>
      </c>
      <c r="R7" s="56" t="str">
        <f t="shared" si="11"/>
        <v/>
      </c>
      <c r="S7" s="56" t="str">
        <f t="shared" si="11"/>
        <v/>
      </c>
      <c r="T7" s="56" t="str">
        <f t="shared" si="11"/>
        <v/>
      </c>
      <c r="U7" s="56" t="str">
        <f t="shared" si="11"/>
        <v/>
      </c>
      <c r="V7" s="56" t="str">
        <f t="shared" si="11"/>
        <v/>
      </c>
      <c r="W7" s="58" t="str">
        <f t="shared" si="11"/>
        <v>昼</v>
      </c>
      <c r="X7" s="58" t="str">
        <f t="shared" si="11"/>
        <v>夕</v>
      </c>
      <c r="Y7" s="56" t="str">
        <f t="shared" si="11"/>
        <v/>
      </c>
      <c r="Z7" s="56" t="str">
        <f t="shared" si="11"/>
        <v/>
      </c>
      <c r="AA7" s="56" t="str">
        <f t="shared" si="11"/>
        <v/>
      </c>
      <c r="AB7" s="56" t="str">
        <f t="shared" si="11"/>
        <v/>
      </c>
      <c r="AC7" s="56" t="str">
        <f t="shared" si="11"/>
        <v/>
      </c>
      <c r="AD7" s="58" t="str">
        <f t="shared" si="11"/>
        <v>昼</v>
      </c>
      <c r="AE7" s="58" t="str">
        <f t="shared" si="11"/>
        <v>夕</v>
      </c>
      <c r="AF7" s="56" t="str">
        <f t="shared" si="11"/>
        <v/>
      </c>
      <c r="AG7" s="56" t="str">
        <f t="shared" si="11"/>
        <v/>
      </c>
      <c r="AH7" s="56" t="str">
        <f t="shared" si="11"/>
        <v/>
      </c>
      <c r="AI7" s="56" t="str">
        <f t="shared" si="11"/>
        <v/>
      </c>
      <c r="AJ7" s="56" t="str">
        <f t="shared" si="11"/>
        <v/>
      </c>
      <c r="AK7" s="58" t="str">
        <f t="shared" si="11"/>
        <v>昼</v>
      </c>
      <c r="AL7" s="58" t="str">
        <f t="shared" si="11"/>
        <v>夕</v>
      </c>
      <c r="AM7" s="56" t="str">
        <f t="shared" si="11"/>
        <v/>
      </c>
      <c r="AN7" s="56" t="str">
        <f t="shared" si="11"/>
        <v/>
      </c>
      <c r="AO7" s="56" t="str">
        <f t="shared" si="11"/>
        <v/>
      </c>
      <c r="AP7" s="56" t="str">
        <f t="shared" si="11"/>
        <v/>
      </c>
      <c r="AQ7" s="56" t="str">
        <f t="shared" si="11"/>
        <v/>
      </c>
      <c r="AR7" s="56">
        <f t="shared" si="4"/>
        <v>4</v>
      </c>
      <c r="AS7" s="56" t="str">
        <f t="shared" si="5"/>
        <v/>
      </c>
      <c r="AT7" s="56" t="str">
        <f t="shared" si="6"/>
        <v/>
      </c>
      <c r="AU7" s="56">
        <f t="shared" si="7"/>
        <v>4</v>
      </c>
      <c r="AV7" s="56">
        <f t="shared" si="10"/>
        <v>8</v>
      </c>
      <c r="AW7" s="56" t="s">
        <v>330</v>
      </c>
      <c r="AX7" s="59" t="s">
        <v>331</v>
      </c>
      <c r="AY7" s="59">
        <v>9086202017</v>
      </c>
      <c r="AZ7" s="59" t="s">
        <v>332</v>
      </c>
      <c r="BA7" s="59">
        <v>9068675997</v>
      </c>
      <c r="BB7" s="66" t="s">
        <v>326</v>
      </c>
      <c r="BC7" s="56">
        <v>4</v>
      </c>
      <c r="BD7" s="88"/>
      <c r="BE7" s="61"/>
      <c r="BF7" s="55" t="s">
        <v>338</v>
      </c>
    </row>
    <row r="8" spans="1:58" s="54" customFormat="1" ht="21.6" customHeight="1" x14ac:dyDescent="0.45">
      <c r="A8" s="72">
        <v>4</v>
      </c>
      <c r="B8" s="57" t="s">
        <v>334</v>
      </c>
      <c r="C8" s="57"/>
      <c r="D8" s="57"/>
      <c r="E8" s="57"/>
      <c r="F8" s="57"/>
      <c r="G8" s="57"/>
      <c r="H8" s="57"/>
      <c r="I8" s="57"/>
      <c r="J8" s="57"/>
      <c r="K8" s="57"/>
      <c r="L8" s="57"/>
      <c r="M8" s="56" t="str">
        <f>IF(M$4="日","昼",IF(M$4="月","○",IF(M$4="火","お","")))</f>
        <v/>
      </c>
      <c r="N8" s="56" t="str">
        <f t="shared" ref="N8:AQ8" si="12">IF(N$4="日","昼",IF(N$4="月","○",IF(N$4="火","お","")))</f>
        <v/>
      </c>
      <c r="O8" s="56" t="str">
        <f t="shared" si="12"/>
        <v/>
      </c>
      <c r="P8" s="56" t="str">
        <f t="shared" si="12"/>
        <v/>
      </c>
      <c r="Q8" s="58" t="str">
        <f t="shared" si="12"/>
        <v>昼</v>
      </c>
      <c r="R8" s="56" t="str">
        <f t="shared" si="12"/>
        <v>○</v>
      </c>
      <c r="S8" s="56" t="str">
        <f t="shared" si="12"/>
        <v>お</v>
      </c>
      <c r="T8" s="56" t="str">
        <f t="shared" si="12"/>
        <v/>
      </c>
      <c r="U8" s="56" t="str">
        <f t="shared" si="12"/>
        <v/>
      </c>
      <c r="V8" s="56" t="str">
        <f t="shared" si="12"/>
        <v/>
      </c>
      <c r="W8" s="56" t="str">
        <f t="shared" si="12"/>
        <v/>
      </c>
      <c r="X8" s="58" t="str">
        <f t="shared" si="12"/>
        <v>昼</v>
      </c>
      <c r="Y8" s="56" t="str">
        <f t="shared" si="12"/>
        <v>○</v>
      </c>
      <c r="Z8" s="56" t="str">
        <f t="shared" si="12"/>
        <v>お</v>
      </c>
      <c r="AA8" s="56" t="str">
        <f t="shared" si="12"/>
        <v/>
      </c>
      <c r="AB8" s="56" t="str">
        <f t="shared" si="12"/>
        <v/>
      </c>
      <c r="AC8" s="56" t="str">
        <f t="shared" si="12"/>
        <v/>
      </c>
      <c r="AD8" s="56" t="str">
        <f t="shared" si="12"/>
        <v/>
      </c>
      <c r="AE8" s="58" t="str">
        <f t="shared" si="12"/>
        <v>昼</v>
      </c>
      <c r="AF8" s="56" t="str">
        <f t="shared" si="12"/>
        <v>○</v>
      </c>
      <c r="AG8" s="56" t="str">
        <f t="shared" si="12"/>
        <v>お</v>
      </c>
      <c r="AH8" s="56" t="str">
        <f t="shared" si="12"/>
        <v/>
      </c>
      <c r="AI8" s="56" t="str">
        <f t="shared" si="12"/>
        <v/>
      </c>
      <c r="AJ8" s="56" t="str">
        <f t="shared" si="12"/>
        <v/>
      </c>
      <c r="AK8" s="56" t="str">
        <f t="shared" si="12"/>
        <v/>
      </c>
      <c r="AL8" s="58" t="str">
        <f t="shared" si="12"/>
        <v>昼</v>
      </c>
      <c r="AM8" s="56" t="str">
        <f t="shared" si="12"/>
        <v>○</v>
      </c>
      <c r="AN8" s="56" t="str">
        <f t="shared" si="12"/>
        <v>お</v>
      </c>
      <c r="AO8" s="56" t="str">
        <f t="shared" si="12"/>
        <v/>
      </c>
      <c r="AP8" s="56" t="str">
        <f t="shared" si="12"/>
        <v/>
      </c>
      <c r="AQ8" s="56" t="str">
        <f t="shared" si="12"/>
        <v/>
      </c>
      <c r="AR8" s="56">
        <f t="shared" si="4"/>
        <v>4</v>
      </c>
      <c r="AS8" s="56">
        <f t="shared" si="5"/>
        <v>4</v>
      </c>
      <c r="AT8" s="56">
        <f t="shared" si="6"/>
        <v>4</v>
      </c>
      <c r="AU8" s="56" t="str">
        <f t="shared" si="7"/>
        <v/>
      </c>
      <c r="AV8" s="56">
        <f t="shared" si="10"/>
        <v>12</v>
      </c>
      <c r="AW8" s="56" t="s">
        <v>323</v>
      </c>
      <c r="AX8" s="56" t="s">
        <v>335</v>
      </c>
      <c r="AY8" s="59">
        <v>8039457095</v>
      </c>
      <c r="AZ8" s="56" t="s">
        <v>336</v>
      </c>
      <c r="BA8" s="59">
        <v>8039162381</v>
      </c>
      <c r="BB8" s="66" t="s">
        <v>337</v>
      </c>
      <c r="BC8" s="56">
        <v>3</v>
      </c>
      <c r="BD8" s="88"/>
      <c r="BE8" s="53"/>
      <c r="BF8" s="55"/>
    </row>
    <row r="9" spans="1:58" s="54" customFormat="1" ht="21.6" customHeight="1" x14ac:dyDescent="0.45">
      <c r="A9" s="72">
        <v>5</v>
      </c>
      <c r="B9" s="75" t="s">
        <v>339</v>
      </c>
      <c r="C9" s="57"/>
      <c r="D9" s="57"/>
      <c r="E9" s="57"/>
      <c r="F9" s="57"/>
      <c r="G9" s="57"/>
      <c r="H9" s="57"/>
      <c r="I9" s="57"/>
      <c r="J9" s="57"/>
      <c r="K9" s="57"/>
      <c r="L9" s="57"/>
      <c r="M9" s="56"/>
      <c r="N9" s="56"/>
      <c r="O9" s="56"/>
      <c r="P9" s="56"/>
      <c r="Q9" s="56"/>
      <c r="R9" s="56"/>
      <c r="S9" s="56"/>
      <c r="T9" s="56"/>
      <c r="U9" s="56"/>
      <c r="V9" s="56"/>
      <c r="W9" s="58"/>
      <c r="X9" s="56"/>
      <c r="Y9" s="56" t="s">
        <v>352</v>
      </c>
      <c r="Z9" s="56" t="s">
        <v>320</v>
      </c>
      <c r="AA9" s="56"/>
      <c r="AB9" s="56"/>
      <c r="AC9" s="56"/>
      <c r="AD9" s="56"/>
      <c r="AE9" s="56"/>
      <c r="AF9" s="56"/>
      <c r="AG9" s="56"/>
      <c r="AH9" s="56"/>
      <c r="AI9" s="56"/>
      <c r="AJ9" s="56"/>
      <c r="AL9" s="56"/>
      <c r="AM9" s="56"/>
      <c r="AN9" s="56"/>
      <c r="AO9" s="56"/>
      <c r="AP9" s="56"/>
      <c r="AQ9" s="56"/>
      <c r="AR9" s="56">
        <f t="shared" si="4"/>
        <v>1</v>
      </c>
      <c r="AS9" s="56" t="str">
        <f t="shared" si="5"/>
        <v/>
      </c>
      <c r="AT9" s="56">
        <f t="shared" si="6"/>
        <v>1</v>
      </c>
      <c r="AU9" s="56" t="str">
        <f t="shared" si="7"/>
        <v/>
      </c>
      <c r="AV9" s="56">
        <f t="shared" ref="AV9:AV30" si="13">IF(COUNTA(M9:AQ9)=0,"",SUM(AR9:AU9))</f>
        <v>2</v>
      </c>
      <c r="AW9" s="56" t="s">
        <v>323</v>
      </c>
      <c r="AX9" s="56" t="s">
        <v>340</v>
      </c>
      <c r="AY9" s="59">
        <v>9037963062</v>
      </c>
      <c r="AZ9" s="56" t="s">
        <v>341</v>
      </c>
      <c r="BA9" s="59">
        <v>9075873470</v>
      </c>
      <c r="BB9" s="56" t="s">
        <v>326</v>
      </c>
      <c r="BC9" s="56">
        <v>3</v>
      </c>
      <c r="BD9" s="88"/>
      <c r="BE9" s="53"/>
      <c r="BF9" s="55"/>
    </row>
    <row r="10" spans="1:58" s="54" customFormat="1" ht="21.6" customHeight="1" x14ac:dyDescent="0.45">
      <c r="A10" s="72">
        <v>6</v>
      </c>
      <c r="B10" s="57" t="s">
        <v>342</v>
      </c>
      <c r="C10" s="57"/>
      <c r="D10" s="57"/>
      <c r="E10" s="57"/>
      <c r="F10" s="57"/>
      <c r="G10" s="57"/>
      <c r="H10" s="57"/>
      <c r="I10" s="57"/>
      <c r="J10" s="57" t="str">
        <f>IF(COUNTA(C10:I10)=0,"",COUNTA(C10:I10))</f>
        <v/>
      </c>
      <c r="K10" s="57"/>
      <c r="L10" s="57"/>
      <c r="M10" s="56" t="str">
        <f>IF(M$4="火","昼",IF(M$4="水","○",IF(M$4="木","夕","")))</f>
        <v>○</v>
      </c>
      <c r="N10" s="58" t="str">
        <f t="shared" ref="N10:AQ10" si="14">IF(N$4="火","昼",IF(N$4="水","○",IF(N$4="木","夕","")))</f>
        <v>夕</v>
      </c>
      <c r="O10" s="56" t="str">
        <f t="shared" si="14"/>
        <v/>
      </c>
      <c r="P10" s="56" t="str">
        <f t="shared" si="14"/>
        <v/>
      </c>
      <c r="Q10" s="56" t="str">
        <f t="shared" si="14"/>
        <v/>
      </c>
      <c r="R10" s="56" t="str">
        <f t="shared" si="14"/>
        <v/>
      </c>
      <c r="S10" s="58" t="str">
        <f t="shared" si="14"/>
        <v>昼</v>
      </c>
      <c r="T10" s="56" t="str">
        <f t="shared" si="14"/>
        <v>○</v>
      </c>
      <c r="U10" s="58" t="str">
        <f t="shared" si="14"/>
        <v>夕</v>
      </c>
      <c r="V10" s="56" t="str">
        <f t="shared" si="14"/>
        <v/>
      </c>
      <c r="W10" s="56" t="str">
        <f t="shared" si="14"/>
        <v/>
      </c>
      <c r="X10" s="58" t="s">
        <v>352</v>
      </c>
      <c r="Y10" s="56" t="s">
        <v>319</v>
      </c>
      <c r="Z10" s="76" t="s">
        <v>319</v>
      </c>
      <c r="AA10" s="56" t="s">
        <v>319</v>
      </c>
      <c r="AB10" s="58" t="s">
        <v>321</v>
      </c>
      <c r="AC10" s="56"/>
      <c r="AD10" s="56"/>
      <c r="AE10" s="56" t="str">
        <f t="shared" si="14"/>
        <v/>
      </c>
      <c r="AF10" s="56" t="str">
        <f t="shared" si="14"/>
        <v/>
      </c>
      <c r="AG10" s="56" t="str">
        <f t="shared" si="14"/>
        <v>昼</v>
      </c>
      <c r="AH10" s="56" t="str">
        <f t="shared" si="14"/>
        <v>○</v>
      </c>
      <c r="AI10" s="58" t="str">
        <f t="shared" si="14"/>
        <v>夕</v>
      </c>
      <c r="AJ10" s="56" t="str">
        <f t="shared" si="14"/>
        <v/>
      </c>
      <c r="AK10" s="56" t="str">
        <f t="shared" si="14"/>
        <v/>
      </c>
      <c r="AL10" s="56" t="str">
        <f t="shared" si="14"/>
        <v/>
      </c>
      <c r="AM10" s="56" t="str">
        <f t="shared" si="14"/>
        <v/>
      </c>
      <c r="AN10" s="56" t="str">
        <f t="shared" si="14"/>
        <v>昼</v>
      </c>
      <c r="AO10" s="56" t="str">
        <f t="shared" si="14"/>
        <v>○</v>
      </c>
      <c r="AP10" s="58" t="str">
        <f t="shared" si="14"/>
        <v>夕</v>
      </c>
      <c r="AQ10" s="56" t="str">
        <f t="shared" si="14"/>
        <v/>
      </c>
      <c r="AR10" s="56">
        <f t="shared" si="4"/>
        <v>4</v>
      </c>
      <c r="AS10" s="56">
        <f t="shared" si="5"/>
        <v>7</v>
      </c>
      <c r="AT10" s="56" t="str">
        <f t="shared" si="6"/>
        <v/>
      </c>
      <c r="AU10" s="56">
        <f t="shared" si="7"/>
        <v>5</v>
      </c>
      <c r="AV10" s="56">
        <f t="shared" si="13"/>
        <v>16</v>
      </c>
      <c r="AW10" s="56" t="s">
        <v>323</v>
      </c>
      <c r="AX10" s="56" t="s">
        <v>343</v>
      </c>
      <c r="AY10" s="59">
        <v>9019466851</v>
      </c>
      <c r="AZ10" s="56" t="s">
        <v>336</v>
      </c>
      <c r="BA10" s="59">
        <v>8039162381</v>
      </c>
      <c r="BB10" s="66" t="s">
        <v>326</v>
      </c>
      <c r="BC10" s="56">
        <v>2</v>
      </c>
      <c r="BD10" s="88">
        <v>46630</v>
      </c>
      <c r="BE10" s="53"/>
      <c r="BF10" s="55"/>
    </row>
    <row r="11" spans="1:58" s="54" customFormat="1" ht="21.6" customHeight="1" x14ac:dyDescent="0.45">
      <c r="A11" s="72">
        <v>7</v>
      </c>
      <c r="B11" s="57" t="s">
        <v>468</v>
      </c>
      <c r="C11" s="57"/>
      <c r="D11" s="57"/>
      <c r="E11" s="57"/>
      <c r="F11" s="57"/>
      <c r="G11" s="57"/>
      <c r="H11" s="57"/>
      <c r="I11" s="57"/>
      <c r="J11" s="57"/>
      <c r="K11" s="57"/>
      <c r="L11" s="57"/>
      <c r="M11" s="76" t="s">
        <v>319</v>
      </c>
      <c r="N11" s="56" t="s">
        <v>319</v>
      </c>
      <c r="O11" s="124" t="s">
        <v>510</v>
      </c>
      <c r="P11" s="58" t="s">
        <v>321</v>
      </c>
      <c r="Q11" s="56"/>
      <c r="R11" s="56"/>
      <c r="S11" s="56"/>
      <c r="T11" s="56"/>
      <c r="U11" s="56"/>
      <c r="V11" s="56"/>
      <c r="W11" s="56"/>
      <c r="X11" s="56"/>
      <c r="Y11" s="56"/>
      <c r="Z11" s="58" t="s">
        <v>352</v>
      </c>
      <c r="AA11" s="76" t="s">
        <v>319</v>
      </c>
      <c r="AB11" s="56" t="s">
        <v>319</v>
      </c>
      <c r="AC11" s="56" t="s">
        <v>319</v>
      </c>
      <c r="AD11" s="58" t="s">
        <v>321</v>
      </c>
      <c r="AE11" s="56"/>
      <c r="AF11" s="56"/>
      <c r="AG11" s="58"/>
      <c r="AH11" s="142"/>
      <c r="AI11" s="56"/>
      <c r="AJ11" s="56"/>
      <c r="AK11" s="58"/>
      <c r="AL11" s="56"/>
      <c r="AM11" s="56"/>
      <c r="AN11" s="56"/>
      <c r="AO11" s="56"/>
      <c r="AP11" s="56"/>
      <c r="AQ11" s="56"/>
      <c r="AR11" s="56">
        <f t="shared" si="4"/>
        <v>1</v>
      </c>
      <c r="AS11" s="56">
        <f t="shared" si="5"/>
        <v>5</v>
      </c>
      <c r="AT11" s="56" t="str">
        <f t="shared" si="6"/>
        <v/>
      </c>
      <c r="AU11" s="56">
        <f t="shared" si="7"/>
        <v>2</v>
      </c>
      <c r="AV11" s="56">
        <v>14</v>
      </c>
      <c r="AW11" s="56" t="s">
        <v>323</v>
      </c>
      <c r="AX11" s="56" t="s">
        <v>469</v>
      </c>
      <c r="AY11" s="59">
        <v>9037971410</v>
      </c>
      <c r="AZ11" s="56" t="s">
        <v>346</v>
      </c>
      <c r="BA11" s="59">
        <v>8033750537</v>
      </c>
      <c r="BB11" s="59" t="s">
        <v>347</v>
      </c>
      <c r="BC11" s="56">
        <v>2</v>
      </c>
      <c r="BD11" s="88">
        <v>46203</v>
      </c>
      <c r="BE11" s="53"/>
      <c r="BF11" s="55"/>
    </row>
    <row r="12" spans="1:58" s="54" customFormat="1" ht="21.6" customHeight="1" x14ac:dyDescent="0.45">
      <c r="A12" s="72">
        <v>8</v>
      </c>
      <c r="B12" s="57" t="s">
        <v>344</v>
      </c>
      <c r="C12" s="57"/>
      <c r="D12" s="57"/>
      <c r="E12" s="57"/>
      <c r="F12" s="57"/>
      <c r="G12" s="57"/>
      <c r="H12" s="57"/>
      <c r="I12" s="57"/>
      <c r="J12" s="57"/>
      <c r="K12" s="57"/>
      <c r="L12" s="57"/>
      <c r="M12" s="56"/>
      <c r="N12" s="56"/>
      <c r="O12" s="56"/>
      <c r="P12" s="56"/>
      <c r="Q12" s="56" t="str">
        <f t="shared" ref="Q12:AQ12" si="15">IF(Q$4="木","昼",IF(Q$4="金","○",IF(Q$4="土","夕","")))</f>
        <v/>
      </c>
      <c r="R12" s="56" t="str">
        <f t="shared" si="15"/>
        <v/>
      </c>
      <c r="S12" s="56" t="str">
        <f t="shared" si="15"/>
        <v/>
      </c>
      <c r="T12" s="56" t="str">
        <f t="shared" si="15"/>
        <v/>
      </c>
      <c r="U12" s="56" t="str">
        <f t="shared" si="15"/>
        <v>昼</v>
      </c>
      <c r="V12" s="56" t="str">
        <f t="shared" si="15"/>
        <v>○</v>
      </c>
      <c r="W12" s="58" t="s">
        <v>321</v>
      </c>
      <c r="X12" s="56"/>
      <c r="Y12" s="56" t="str">
        <f t="shared" si="15"/>
        <v/>
      </c>
      <c r="Z12" s="56" t="str">
        <f t="shared" si="15"/>
        <v/>
      </c>
      <c r="AA12" s="56"/>
      <c r="AB12" s="56"/>
      <c r="AC12" s="56"/>
      <c r="AD12" s="56"/>
      <c r="AE12" s="56" t="str">
        <f t="shared" si="15"/>
        <v/>
      </c>
      <c r="AF12" s="56" t="str">
        <f t="shared" si="15"/>
        <v/>
      </c>
      <c r="AG12" s="56" t="str">
        <f t="shared" si="15"/>
        <v/>
      </c>
      <c r="AH12" s="56" t="str">
        <f t="shared" si="15"/>
        <v/>
      </c>
      <c r="AI12" s="56" t="str">
        <f t="shared" si="15"/>
        <v>昼</v>
      </c>
      <c r="AJ12" s="56" t="str">
        <f t="shared" si="15"/>
        <v>○</v>
      </c>
      <c r="AK12" s="56" t="s">
        <v>319</v>
      </c>
      <c r="AL12" s="58" t="s">
        <v>497</v>
      </c>
      <c r="AM12" s="56" t="str">
        <f t="shared" si="15"/>
        <v/>
      </c>
      <c r="AN12" s="56" t="str">
        <f t="shared" si="15"/>
        <v/>
      </c>
      <c r="AO12" s="56" t="str">
        <f t="shared" si="15"/>
        <v/>
      </c>
      <c r="AP12" s="56"/>
      <c r="AQ12" s="56" t="str">
        <f t="shared" si="15"/>
        <v/>
      </c>
      <c r="AR12" s="56">
        <f t="shared" si="4"/>
        <v>2</v>
      </c>
      <c r="AS12" s="56">
        <f t="shared" si="5"/>
        <v>3</v>
      </c>
      <c r="AT12" s="56" t="str">
        <f t="shared" si="6"/>
        <v/>
      </c>
      <c r="AU12" s="56">
        <f t="shared" si="7"/>
        <v>2</v>
      </c>
      <c r="AV12" s="56">
        <f t="shared" si="13"/>
        <v>7</v>
      </c>
      <c r="AW12" s="56" t="s">
        <v>323</v>
      </c>
      <c r="AX12" s="56" t="s">
        <v>345</v>
      </c>
      <c r="AY12" s="59">
        <v>9068975316</v>
      </c>
      <c r="AZ12" s="56" t="s">
        <v>346</v>
      </c>
      <c r="BA12" s="59">
        <v>8033750538</v>
      </c>
      <c r="BB12" s="66" t="s">
        <v>347</v>
      </c>
      <c r="BC12" s="56">
        <v>2</v>
      </c>
      <c r="BD12" s="66"/>
      <c r="BE12" s="53"/>
      <c r="BF12" s="55"/>
    </row>
    <row r="13" spans="1:58" s="54" customFormat="1" ht="21.6" customHeight="1" x14ac:dyDescent="0.45">
      <c r="A13" s="72">
        <v>9</v>
      </c>
      <c r="B13" s="57" t="s">
        <v>348</v>
      </c>
      <c r="C13" s="57"/>
      <c r="D13" s="57"/>
      <c r="E13" s="57"/>
      <c r="F13" s="57"/>
      <c r="G13" s="57"/>
      <c r="H13" s="57"/>
      <c r="I13" s="57"/>
      <c r="J13" s="57"/>
      <c r="K13" s="57"/>
      <c r="L13" s="57"/>
      <c r="M13" s="56" t="s">
        <v>319</v>
      </c>
      <c r="N13" s="76" t="s">
        <v>319</v>
      </c>
      <c r="O13" s="56" t="s">
        <v>319</v>
      </c>
      <c r="P13" s="56" t="s">
        <v>319</v>
      </c>
      <c r="Q13" s="56" t="s">
        <v>319</v>
      </c>
      <c r="R13" s="56" t="s">
        <v>320</v>
      </c>
      <c r="S13" s="56"/>
      <c r="T13" s="56" t="s">
        <v>352</v>
      </c>
      <c r="U13" s="76" t="s">
        <v>319</v>
      </c>
      <c r="V13" s="56" t="s">
        <v>319</v>
      </c>
      <c r="W13" s="56" t="s">
        <v>319</v>
      </c>
      <c r="X13" s="56" t="s">
        <v>319</v>
      </c>
      <c r="Y13" s="76" t="s">
        <v>319</v>
      </c>
      <c r="Z13" s="56" t="s">
        <v>319</v>
      </c>
      <c r="AA13" s="56" t="s">
        <v>319</v>
      </c>
      <c r="AB13" s="76" t="s">
        <v>319</v>
      </c>
      <c r="AC13" s="56" t="s">
        <v>319</v>
      </c>
      <c r="AD13" s="56" t="s">
        <v>319</v>
      </c>
      <c r="AE13" s="56" t="s">
        <v>319</v>
      </c>
      <c r="AF13" s="76" t="s">
        <v>319</v>
      </c>
      <c r="AG13" s="56" t="s">
        <v>319</v>
      </c>
      <c r="AH13" s="56" t="s">
        <v>319</v>
      </c>
      <c r="AI13" s="76" t="s">
        <v>319</v>
      </c>
      <c r="AJ13" s="56" t="s">
        <v>319</v>
      </c>
      <c r="AK13" s="56" t="s">
        <v>319</v>
      </c>
      <c r="AL13" s="56" t="s">
        <v>319</v>
      </c>
      <c r="AM13" s="76" t="s">
        <v>319</v>
      </c>
      <c r="AN13" s="56" t="s">
        <v>319</v>
      </c>
      <c r="AO13" s="56" t="s">
        <v>319</v>
      </c>
      <c r="AP13" s="76" t="s">
        <v>319</v>
      </c>
      <c r="AQ13" s="56" t="str">
        <f t="shared" ref="AQ13" si="16">IF(AQ$4="月","昼",IF(AQ$4="火","○",IF(AQ$4="水","○",IF(AQ$4="木","お",""))))</f>
        <v/>
      </c>
      <c r="AR13" s="56">
        <f t="shared" si="4"/>
        <v>1</v>
      </c>
      <c r="AS13" s="56">
        <f t="shared" si="5"/>
        <v>27</v>
      </c>
      <c r="AT13" s="56">
        <f t="shared" si="6"/>
        <v>1</v>
      </c>
      <c r="AU13" s="56" t="str">
        <f t="shared" si="7"/>
        <v/>
      </c>
      <c r="AV13" s="56">
        <f t="shared" si="13"/>
        <v>29</v>
      </c>
      <c r="AW13" s="56" t="s">
        <v>323</v>
      </c>
      <c r="AX13" s="56" t="s">
        <v>349</v>
      </c>
      <c r="AY13" s="59">
        <v>9013413414</v>
      </c>
      <c r="AZ13" s="56" t="s">
        <v>350</v>
      </c>
      <c r="BA13" s="59">
        <v>9068641724</v>
      </c>
      <c r="BB13" s="66" t="s">
        <v>337</v>
      </c>
      <c r="BC13" s="56">
        <v>3</v>
      </c>
      <c r="BD13" s="88"/>
      <c r="BE13" s="53"/>
      <c r="BF13" s="55"/>
    </row>
    <row r="14" spans="1:58" s="54" customFormat="1" ht="21.6" customHeight="1" x14ac:dyDescent="0.45">
      <c r="A14" s="72">
        <v>10</v>
      </c>
      <c r="B14" s="57" t="s">
        <v>351</v>
      </c>
      <c r="C14" s="57"/>
      <c r="D14" s="57"/>
      <c r="E14" s="57"/>
      <c r="F14" s="57"/>
      <c r="G14" s="57"/>
      <c r="H14" s="57"/>
      <c r="I14" s="57"/>
      <c r="J14" s="57"/>
      <c r="K14" s="57"/>
      <c r="L14" s="57"/>
      <c r="M14" s="56" t="str">
        <f>IF(M$4="土","昼",IF(M$4="日","お",""))</f>
        <v/>
      </c>
      <c r="N14" s="56" t="str">
        <f t="shared" ref="N14:AQ14" si="17">IF(N$4="土","昼",IF(N$4="日","お",""))</f>
        <v/>
      </c>
      <c r="O14" s="56" t="str">
        <f t="shared" si="17"/>
        <v/>
      </c>
      <c r="P14" s="58" t="str">
        <f t="shared" si="17"/>
        <v>昼</v>
      </c>
      <c r="Q14" s="58" t="str">
        <f t="shared" si="17"/>
        <v>お</v>
      </c>
      <c r="R14" s="56" t="str">
        <f t="shared" si="17"/>
        <v/>
      </c>
      <c r="S14" s="56" t="str">
        <f t="shared" si="17"/>
        <v/>
      </c>
      <c r="T14" s="56" t="str">
        <f t="shared" si="17"/>
        <v/>
      </c>
      <c r="U14" s="56" t="str">
        <f t="shared" si="17"/>
        <v/>
      </c>
      <c r="V14" s="56" t="str">
        <f t="shared" si="17"/>
        <v/>
      </c>
      <c r="W14" s="58" t="str">
        <f t="shared" si="17"/>
        <v>昼</v>
      </c>
      <c r="X14" s="58" t="str">
        <f t="shared" si="17"/>
        <v>お</v>
      </c>
      <c r="Y14" s="56" t="str">
        <f t="shared" si="17"/>
        <v/>
      </c>
      <c r="Z14" s="56" t="str">
        <f t="shared" si="17"/>
        <v/>
      </c>
      <c r="AA14" s="56" t="str">
        <f t="shared" si="17"/>
        <v/>
      </c>
      <c r="AB14" s="56" t="str">
        <f t="shared" si="17"/>
        <v/>
      </c>
      <c r="AC14" s="56" t="str">
        <f t="shared" si="17"/>
        <v/>
      </c>
      <c r="AD14" s="58" t="str">
        <f t="shared" si="17"/>
        <v>昼</v>
      </c>
      <c r="AE14" s="58" t="str">
        <f t="shared" si="17"/>
        <v>お</v>
      </c>
      <c r="AF14" s="56" t="str">
        <f t="shared" si="17"/>
        <v/>
      </c>
      <c r="AG14" s="56" t="str">
        <f t="shared" si="17"/>
        <v/>
      </c>
      <c r="AH14" s="56" t="str">
        <f t="shared" si="17"/>
        <v/>
      </c>
      <c r="AI14" s="56" t="str">
        <f t="shared" si="17"/>
        <v/>
      </c>
      <c r="AJ14" s="56" t="str">
        <f t="shared" si="17"/>
        <v/>
      </c>
      <c r="AK14" s="58" t="str">
        <f t="shared" si="17"/>
        <v>昼</v>
      </c>
      <c r="AL14" s="58" t="str">
        <f t="shared" si="17"/>
        <v>お</v>
      </c>
      <c r="AM14" s="56" t="str">
        <f t="shared" si="17"/>
        <v/>
      </c>
      <c r="AN14" s="56" t="str">
        <f t="shared" si="17"/>
        <v/>
      </c>
      <c r="AO14" s="56" t="str">
        <f t="shared" si="17"/>
        <v/>
      </c>
      <c r="AP14" s="56" t="str">
        <f t="shared" si="17"/>
        <v/>
      </c>
      <c r="AQ14" s="56" t="str">
        <f t="shared" si="17"/>
        <v/>
      </c>
      <c r="AR14" s="56">
        <f t="shared" si="4"/>
        <v>4</v>
      </c>
      <c r="AS14" s="56" t="str">
        <f t="shared" si="5"/>
        <v/>
      </c>
      <c r="AT14" s="56">
        <f t="shared" si="6"/>
        <v>4</v>
      </c>
      <c r="AU14" s="56" t="str">
        <f t="shared" si="7"/>
        <v/>
      </c>
      <c r="AV14" s="56">
        <f t="shared" si="13"/>
        <v>8</v>
      </c>
      <c r="AW14" s="56" t="s">
        <v>323</v>
      </c>
      <c r="AX14" s="56" t="s">
        <v>353</v>
      </c>
      <c r="AY14" s="59">
        <v>9097873561</v>
      </c>
      <c r="AZ14" s="56" t="s">
        <v>346</v>
      </c>
      <c r="BA14" s="59">
        <v>8033750537</v>
      </c>
      <c r="BB14" s="66" t="s">
        <v>347</v>
      </c>
      <c r="BC14" s="56">
        <v>1</v>
      </c>
      <c r="BD14" s="88"/>
      <c r="BE14" s="53"/>
      <c r="BF14" s="55"/>
    </row>
    <row r="15" spans="1:58" s="54" customFormat="1" ht="21.6" customHeight="1" x14ac:dyDescent="0.45">
      <c r="A15" s="72">
        <v>11</v>
      </c>
      <c r="B15" s="57" t="s">
        <v>376</v>
      </c>
      <c r="C15" s="57"/>
      <c r="D15" s="57"/>
      <c r="E15" s="57"/>
      <c r="F15" s="57"/>
      <c r="G15" s="57"/>
      <c r="H15" s="57"/>
      <c r="I15" s="57"/>
      <c r="J15" s="57"/>
      <c r="K15" s="57"/>
      <c r="L15" s="57"/>
      <c r="M15" s="56"/>
      <c r="N15" s="56" t="s">
        <v>352</v>
      </c>
      <c r="O15" s="76" t="s">
        <v>319</v>
      </c>
      <c r="P15" s="113" t="s">
        <v>319</v>
      </c>
      <c r="Q15" s="72" t="s">
        <v>319</v>
      </c>
      <c r="R15" s="72" t="s">
        <v>319</v>
      </c>
      <c r="S15" s="56" t="s">
        <v>320</v>
      </c>
      <c r="T15" s="56"/>
      <c r="U15" s="56"/>
      <c r="V15" s="56"/>
      <c r="W15" s="56"/>
      <c r="X15" s="56"/>
      <c r="Y15" s="56"/>
      <c r="Z15" s="56"/>
      <c r="AA15" s="56"/>
      <c r="AB15" s="56"/>
      <c r="AC15" s="56"/>
      <c r="AD15" s="58"/>
      <c r="AE15" s="56"/>
      <c r="AF15" s="56"/>
      <c r="AG15" s="56"/>
      <c r="AH15" s="56"/>
      <c r="AI15" s="56"/>
      <c r="AJ15" s="56"/>
      <c r="AK15" s="56"/>
      <c r="AL15" s="56"/>
      <c r="AN15" s="56"/>
      <c r="AO15" s="56"/>
      <c r="AP15" s="56"/>
      <c r="AQ15" s="56"/>
      <c r="AR15" s="56">
        <f t="shared" si="4"/>
        <v>1</v>
      </c>
      <c r="AS15" s="56">
        <f t="shared" si="5"/>
        <v>4</v>
      </c>
      <c r="AT15" s="56">
        <f t="shared" si="6"/>
        <v>1</v>
      </c>
      <c r="AU15" s="56" t="str">
        <f t="shared" si="7"/>
        <v/>
      </c>
      <c r="AV15" s="56">
        <f t="shared" si="13"/>
        <v>6</v>
      </c>
      <c r="AW15" s="56" t="s">
        <v>330</v>
      </c>
      <c r="AX15" s="56" t="s">
        <v>377</v>
      </c>
      <c r="AY15" s="59">
        <v>9075866267</v>
      </c>
      <c r="AZ15" s="56" t="s">
        <v>336</v>
      </c>
      <c r="BA15" s="59">
        <v>8039162381</v>
      </c>
      <c r="BB15" s="66" t="s">
        <v>347</v>
      </c>
      <c r="BC15" s="56">
        <v>3</v>
      </c>
      <c r="BD15" s="88"/>
      <c r="BE15" s="53"/>
      <c r="BF15" s="55"/>
    </row>
    <row r="16" spans="1:58" s="54" customFormat="1" ht="21.6" customHeight="1" x14ac:dyDescent="0.45">
      <c r="A16" s="72">
        <v>12</v>
      </c>
      <c r="B16" s="57" t="s">
        <v>367</v>
      </c>
      <c r="C16" s="57"/>
      <c r="D16" s="57"/>
      <c r="E16" s="57"/>
      <c r="F16" s="57"/>
      <c r="G16" s="57"/>
      <c r="H16" s="57"/>
      <c r="I16" s="57"/>
      <c r="J16" s="57"/>
      <c r="K16" s="57"/>
      <c r="L16" s="57"/>
      <c r="M16" s="56"/>
      <c r="N16" s="56"/>
      <c r="O16" s="56"/>
      <c r="P16" s="56"/>
      <c r="Q16" s="56"/>
      <c r="R16" s="56"/>
      <c r="S16" s="56"/>
      <c r="T16" s="56"/>
      <c r="U16" s="56"/>
      <c r="V16" s="56"/>
      <c r="W16" s="56"/>
      <c r="X16" s="56"/>
      <c r="Y16" s="56"/>
      <c r="Z16" s="56"/>
      <c r="AA16" s="56"/>
      <c r="AB16" s="56"/>
      <c r="AC16" s="56"/>
      <c r="AD16" s="56"/>
      <c r="AE16" s="56"/>
      <c r="AF16" s="56"/>
      <c r="AG16" s="56" t="s">
        <v>352</v>
      </c>
      <c r="AH16" s="72" t="s">
        <v>319</v>
      </c>
      <c r="AI16" s="76" t="s">
        <v>319</v>
      </c>
      <c r="AJ16" s="56" t="s">
        <v>319</v>
      </c>
      <c r="AK16" s="56" t="s">
        <v>319</v>
      </c>
      <c r="AL16" s="56" t="s">
        <v>319</v>
      </c>
      <c r="AM16" s="56" t="s">
        <v>320</v>
      </c>
      <c r="AN16" s="56"/>
      <c r="AO16" s="56"/>
      <c r="AP16" s="56"/>
      <c r="AQ16" s="56"/>
      <c r="AR16" s="56">
        <f t="shared" si="4"/>
        <v>1</v>
      </c>
      <c r="AS16" s="56">
        <f t="shared" si="5"/>
        <v>5</v>
      </c>
      <c r="AT16" s="56">
        <f t="shared" si="6"/>
        <v>1</v>
      </c>
      <c r="AU16" s="56" t="str">
        <f t="shared" si="7"/>
        <v/>
      </c>
      <c r="AV16" s="56">
        <f t="shared" si="13"/>
        <v>7</v>
      </c>
      <c r="AW16" s="56" t="s">
        <v>323</v>
      </c>
      <c r="AX16" s="56" t="s">
        <v>368</v>
      </c>
      <c r="AY16" s="59">
        <v>98037966964</v>
      </c>
      <c r="AZ16" s="56" t="s">
        <v>369</v>
      </c>
      <c r="BA16" s="59">
        <v>8064920886</v>
      </c>
      <c r="BB16" s="66" t="s">
        <v>347</v>
      </c>
      <c r="BC16" s="56">
        <v>2</v>
      </c>
      <c r="BD16" s="88"/>
      <c r="BE16" s="53"/>
      <c r="BF16" s="55"/>
    </row>
    <row r="17" spans="1:58" s="54" customFormat="1" ht="21.6" customHeight="1" x14ac:dyDescent="0.45">
      <c r="A17" s="72">
        <v>13</v>
      </c>
      <c r="B17" s="57" t="s">
        <v>354</v>
      </c>
      <c r="C17" s="57"/>
      <c r="D17" s="57"/>
      <c r="E17" s="57"/>
      <c r="F17" s="57"/>
      <c r="G17" s="57"/>
      <c r="H17" s="57"/>
      <c r="I17" s="57"/>
      <c r="J17" s="57"/>
      <c r="K17" s="57"/>
      <c r="L17" s="57"/>
      <c r="M17" s="56"/>
      <c r="N17" s="56"/>
      <c r="O17" s="56"/>
      <c r="P17" s="56"/>
      <c r="Q17" s="56"/>
      <c r="R17" s="56"/>
      <c r="S17" s="56"/>
      <c r="T17" s="56"/>
      <c r="U17" s="56"/>
      <c r="V17" s="56"/>
      <c r="W17" s="56"/>
      <c r="X17" s="56"/>
      <c r="Y17" s="56"/>
      <c r="Z17" s="56"/>
      <c r="AA17" s="58"/>
      <c r="AB17" s="56"/>
      <c r="AC17" s="56"/>
      <c r="AD17" s="56"/>
      <c r="AE17" s="58"/>
      <c r="AF17" s="56"/>
      <c r="AG17" s="56"/>
      <c r="AH17" s="56"/>
      <c r="AI17" s="56"/>
      <c r="AJ17" s="56"/>
      <c r="AK17" s="56"/>
      <c r="AL17" s="56"/>
      <c r="AM17" s="56"/>
      <c r="AN17" s="56"/>
      <c r="AO17" s="56"/>
      <c r="AP17" s="56"/>
      <c r="AQ17" s="56"/>
      <c r="AR17" s="56" t="str">
        <f t="shared" si="4"/>
        <v/>
      </c>
      <c r="AS17" s="56" t="str">
        <f t="shared" si="5"/>
        <v/>
      </c>
      <c r="AT17" s="56" t="str">
        <f t="shared" si="6"/>
        <v/>
      </c>
      <c r="AU17" s="56" t="str">
        <f t="shared" si="7"/>
        <v/>
      </c>
      <c r="AV17" s="56" t="str">
        <f t="shared" si="13"/>
        <v/>
      </c>
      <c r="AW17" s="56" t="s">
        <v>323</v>
      </c>
      <c r="AX17" s="56" t="s">
        <v>355</v>
      </c>
      <c r="AY17" s="59">
        <v>9094067262</v>
      </c>
      <c r="AZ17" s="56" t="s">
        <v>356</v>
      </c>
      <c r="BA17" s="59">
        <v>7012498633</v>
      </c>
      <c r="BB17" s="66" t="s">
        <v>326</v>
      </c>
      <c r="BC17" s="56">
        <v>2</v>
      </c>
      <c r="BD17" s="88"/>
      <c r="BE17" s="53"/>
      <c r="BF17" s="55"/>
    </row>
    <row r="18" spans="1:58" s="54" customFormat="1" ht="21.6" customHeight="1" x14ac:dyDescent="0.45">
      <c r="A18" s="72">
        <v>14</v>
      </c>
      <c r="B18" s="57" t="s">
        <v>357</v>
      </c>
      <c r="C18" s="57"/>
      <c r="D18" s="57"/>
      <c r="E18" s="57"/>
      <c r="F18" s="57"/>
      <c r="G18" s="57"/>
      <c r="H18" s="57"/>
      <c r="I18" s="57"/>
      <c r="J18" s="57"/>
      <c r="K18" s="57"/>
      <c r="L18" s="57"/>
      <c r="M18" s="56" t="s">
        <v>319</v>
      </c>
      <c r="N18" s="56" t="s">
        <v>320</v>
      </c>
      <c r="O18" s="56"/>
      <c r="P18" s="56"/>
      <c r="Q18" s="56"/>
      <c r="R18" s="56" t="s">
        <v>352</v>
      </c>
      <c r="S18" s="56" t="s">
        <v>319</v>
      </c>
      <c r="T18" s="76" t="s">
        <v>319</v>
      </c>
      <c r="U18" s="56" t="s">
        <v>319</v>
      </c>
      <c r="V18" s="76" t="s">
        <v>319</v>
      </c>
      <c r="W18" s="56" t="s">
        <v>319</v>
      </c>
      <c r="X18" s="56" t="s">
        <v>319</v>
      </c>
      <c r="Y18" s="76" t="s">
        <v>319</v>
      </c>
      <c r="Z18" s="56" t="s">
        <v>319</v>
      </c>
      <c r="AA18" s="56" t="s">
        <v>319</v>
      </c>
      <c r="AB18" s="56" t="s">
        <v>320</v>
      </c>
      <c r="AC18" s="56"/>
      <c r="AD18" s="56"/>
      <c r="AE18" s="56"/>
      <c r="AF18" s="56" t="s">
        <v>352</v>
      </c>
      <c r="AG18" s="56" t="s">
        <v>319</v>
      </c>
      <c r="AH18" s="76" t="s">
        <v>319</v>
      </c>
      <c r="AI18" s="72" t="s">
        <v>319</v>
      </c>
      <c r="AJ18" s="56" t="s">
        <v>319</v>
      </c>
      <c r="AK18" s="76" t="s">
        <v>319</v>
      </c>
      <c r="AL18" s="56" t="s">
        <v>319</v>
      </c>
      <c r="AM18" s="56" t="s">
        <v>319</v>
      </c>
      <c r="AN18" s="56" t="s">
        <v>319</v>
      </c>
      <c r="AO18" s="56" t="s">
        <v>319</v>
      </c>
      <c r="AP18" s="56" t="s">
        <v>320</v>
      </c>
      <c r="AQ18" s="56" t="str">
        <f t="shared" ref="AQ18" si="18">IF(AQ$4="月","昼",IF(AQ$4="火","○",IF(AQ$4="水","○",IF(AQ$4="木","お",""))))</f>
        <v/>
      </c>
      <c r="AR18" s="56">
        <f t="shared" si="4"/>
        <v>2</v>
      </c>
      <c r="AS18" s="56">
        <f t="shared" si="5"/>
        <v>19</v>
      </c>
      <c r="AT18" s="56">
        <f t="shared" si="6"/>
        <v>3</v>
      </c>
      <c r="AU18" s="56" t="str">
        <f t="shared" si="7"/>
        <v/>
      </c>
      <c r="AV18" s="56">
        <f t="shared" si="13"/>
        <v>24</v>
      </c>
      <c r="AW18" s="56" t="s">
        <v>330</v>
      </c>
      <c r="AX18" s="56" t="s">
        <v>358</v>
      </c>
      <c r="AY18" s="59">
        <v>8035335927</v>
      </c>
      <c r="AZ18" s="56" t="s">
        <v>359</v>
      </c>
      <c r="BA18" s="59">
        <v>9082902739</v>
      </c>
      <c r="BB18" s="66" t="s">
        <v>360</v>
      </c>
      <c r="BC18" s="56">
        <v>3</v>
      </c>
      <c r="BD18" s="88"/>
      <c r="BE18" s="61" t="s">
        <v>365</v>
      </c>
      <c r="BF18" s="55" t="s">
        <v>366</v>
      </c>
    </row>
    <row r="19" spans="1:58" s="54" customFormat="1" ht="21.6" customHeight="1" x14ac:dyDescent="0.45">
      <c r="A19" s="72">
        <v>15</v>
      </c>
      <c r="B19" s="57" t="s">
        <v>471</v>
      </c>
      <c r="C19" s="57"/>
      <c r="D19" s="57"/>
      <c r="E19" s="57"/>
      <c r="F19" s="57"/>
      <c r="G19" s="57"/>
      <c r="H19" s="57"/>
      <c r="I19" s="57"/>
      <c r="J19" s="57"/>
      <c r="K19" s="57"/>
      <c r="L19" s="57"/>
      <c r="M19" s="56" t="str">
        <f>IF(M$4="木","昼",IF(M$4="金","お",""))</f>
        <v/>
      </c>
      <c r="N19" s="56" t="str">
        <f t="shared" ref="N19:AQ19" si="19">IF(N$4="木","昼",IF(N$4="金","お",""))</f>
        <v>昼</v>
      </c>
      <c r="O19" s="56" t="str">
        <f t="shared" si="19"/>
        <v>お</v>
      </c>
      <c r="P19" s="56" t="str">
        <f t="shared" si="19"/>
        <v/>
      </c>
      <c r="Q19" s="56" t="str">
        <f t="shared" si="19"/>
        <v/>
      </c>
      <c r="R19" s="56" t="str">
        <f t="shared" si="19"/>
        <v/>
      </c>
      <c r="S19" s="56" t="str">
        <f t="shared" si="19"/>
        <v/>
      </c>
      <c r="T19" s="56" t="str">
        <f t="shared" si="19"/>
        <v/>
      </c>
      <c r="U19" s="56" t="str">
        <f t="shared" si="19"/>
        <v>昼</v>
      </c>
      <c r="V19" s="56" t="str">
        <f t="shared" si="19"/>
        <v>お</v>
      </c>
      <c r="W19" s="56" t="str">
        <f t="shared" si="19"/>
        <v/>
      </c>
      <c r="X19" s="56" t="str">
        <f t="shared" si="19"/>
        <v/>
      </c>
      <c r="Y19" s="56" t="str">
        <f t="shared" si="19"/>
        <v/>
      </c>
      <c r="Z19" s="56" t="str">
        <f t="shared" si="19"/>
        <v/>
      </c>
      <c r="AA19" s="56" t="str">
        <f t="shared" si="19"/>
        <v/>
      </c>
      <c r="AB19" s="56" t="str">
        <f t="shared" si="19"/>
        <v>昼</v>
      </c>
      <c r="AC19" s="56" t="str">
        <f t="shared" si="19"/>
        <v>お</v>
      </c>
      <c r="AD19" s="56" t="str">
        <f t="shared" si="19"/>
        <v/>
      </c>
      <c r="AE19" s="56" t="str">
        <f t="shared" si="19"/>
        <v/>
      </c>
      <c r="AF19" s="56" t="str">
        <f t="shared" si="19"/>
        <v/>
      </c>
      <c r="AG19" s="56" t="str">
        <f t="shared" si="19"/>
        <v/>
      </c>
      <c r="AH19" s="56" t="str">
        <f t="shared" si="19"/>
        <v/>
      </c>
      <c r="AI19" s="56" t="str">
        <f t="shared" si="19"/>
        <v>昼</v>
      </c>
      <c r="AJ19" s="56" t="str">
        <f t="shared" si="19"/>
        <v>お</v>
      </c>
      <c r="AK19" s="56" t="str">
        <f t="shared" si="19"/>
        <v/>
      </c>
      <c r="AL19" s="56" t="str">
        <f t="shared" si="19"/>
        <v/>
      </c>
      <c r="AM19" s="56" t="str">
        <f t="shared" si="19"/>
        <v/>
      </c>
      <c r="AN19" s="56" t="str">
        <f t="shared" si="19"/>
        <v/>
      </c>
      <c r="AO19" s="56" t="str">
        <f t="shared" si="19"/>
        <v/>
      </c>
      <c r="AP19" s="56" t="str">
        <f t="shared" si="19"/>
        <v>昼</v>
      </c>
      <c r="AQ19" s="56" t="str">
        <f t="shared" si="19"/>
        <v/>
      </c>
      <c r="AR19" s="56">
        <f t="shared" si="4"/>
        <v>5</v>
      </c>
      <c r="AS19" s="56" t="str">
        <f t="shared" si="5"/>
        <v/>
      </c>
      <c r="AT19" s="56">
        <f t="shared" si="6"/>
        <v>4</v>
      </c>
      <c r="AU19" s="56" t="str">
        <f t="shared" si="7"/>
        <v/>
      </c>
      <c r="AV19" s="56">
        <f t="shared" si="13"/>
        <v>9</v>
      </c>
      <c r="AW19" s="56" t="s">
        <v>330</v>
      </c>
      <c r="AX19" s="56" t="s">
        <v>472</v>
      </c>
      <c r="AY19" s="59">
        <v>8064949861</v>
      </c>
      <c r="AZ19" s="56" t="s">
        <v>380</v>
      </c>
      <c r="BA19" s="59">
        <v>8033750538</v>
      </c>
      <c r="BB19" s="66" t="s">
        <v>326</v>
      </c>
      <c r="BC19" s="56">
        <v>3</v>
      </c>
      <c r="BD19" s="88"/>
      <c r="BE19" s="61"/>
      <c r="BF19" s="55"/>
    </row>
    <row r="20" spans="1:58" s="54" customFormat="1" ht="21.6" customHeight="1" x14ac:dyDescent="0.45">
      <c r="A20" s="72">
        <v>16</v>
      </c>
      <c r="B20" s="57" t="s">
        <v>363</v>
      </c>
      <c r="C20" s="57"/>
      <c r="D20" s="57"/>
      <c r="E20" s="57"/>
      <c r="F20" s="57"/>
      <c r="G20" s="57"/>
      <c r="H20" s="57"/>
      <c r="I20" s="57"/>
      <c r="J20" s="57"/>
      <c r="K20" s="57"/>
      <c r="L20" s="57"/>
      <c r="M20" s="56" t="str">
        <f>IF(M$4="日","昼",IF(M$4="月","お",""))</f>
        <v/>
      </c>
      <c r="N20" s="56" t="str">
        <f t="shared" ref="N20:AQ20" si="20">IF(N$4="日","昼",IF(N$4="月","お",""))</f>
        <v/>
      </c>
      <c r="O20" s="56" t="str">
        <f t="shared" si="20"/>
        <v/>
      </c>
      <c r="P20" s="56" t="str">
        <f t="shared" si="20"/>
        <v/>
      </c>
      <c r="Q20" s="58" t="str">
        <f t="shared" si="20"/>
        <v>昼</v>
      </c>
      <c r="R20" s="56" t="str">
        <f t="shared" si="20"/>
        <v>お</v>
      </c>
      <c r="S20" s="56" t="str">
        <f t="shared" si="20"/>
        <v/>
      </c>
      <c r="T20" s="56" t="str">
        <f t="shared" si="20"/>
        <v/>
      </c>
      <c r="U20" s="56" t="str">
        <f t="shared" si="20"/>
        <v/>
      </c>
      <c r="V20" s="56" t="str">
        <f t="shared" si="20"/>
        <v/>
      </c>
      <c r="W20" s="56" t="str">
        <f t="shared" si="20"/>
        <v/>
      </c>
      <c r="X20" s="58" t="str">
        <f t="shared" si="20"/>
        <v>昼</v>
      </c>
      <c r="Y20" s="56" t="str">
        <f t="shared" si="20"/>
        <v>お</v>
      </c>
      <c r="Z20" s="56" t="str">
        <f t="shared" si="20"/>
        <v/>
      </c>
      <c r="AA20" s="56" t="str">
        <f t="shared" si="20"/>
        <v/>
      </c>
      <c r="AB20" s="56" t="str">
        <f t="shared" si="20"/>
        <v/>
      </c>
      <c r="AC20" s="56" t="str">
        <f t="shared" si="20"/>
        <v/>
      </c>
      <c r="AD20" s="56" t="str">
        <f t="shared" si="20"/>
        <v/>
      </c>
      <c r="AE20" s="58" t="str">
        <f t="shared" si="20"/>
        <v>昼</v>
      </c>
      <c r="AF20" s="56" t="str">
        <f t="shared" si="20"/>
        <v>お</v>
      </c>
      <c r="AG20" s="56" t="str">
        <f t="shared" si="20"/>
        <v/>
      </c>
      <c r="AH20" s="56" t="str">
        <f t="shared" si="20"/>
        <v/>
      </c>
      <c r="AI20" s="56" t="str">
        <f t="shared" si="20"/>
        <v/>
      </c>
      <c r="AJ20" s="56" t="str">
        <f t="shared" si="20"/>
        <v/>
      </c>
      <c r="AK20" s="56" t="str">
        <f t="shared" si="20"/>
        <v/>
      </c>
      <c r="AL20" s="58" t="str">
        <f t="shared" si="20"/>
        <v>昼</v>
      </c>
      <c r="AM20" s="56" t="str">
        <f t="shared" si="20"/>
        <v>お</v>
      </c>
      <c r="AN20" s="56" t="str">
        <f t="shared" si="20"/>
        <v/>
      </c>
      <c r="AO20" s="56" t="str">
        <f t="shared" si="20"/>
        <v/>
      </c>
      <c r="AP20" s="56" t="str">
        <f t="shared" si="20"/>
        <v/>
      </c>
      <c r="AQ20" s="56" t="str">
        <f t="shared" si="20"/>
        <v/>
      </c>
      <c r="AR20" s="56">
        <f t="shared" si="4"/>
        <v>4</v>
      </c>
      <c r="AS20" s="56" t="str">
        <f t="shared" si="5"/>
        <v/>
      </c>
      <c r="AT20" s="56">
        <f t="shared" si="6"/>
        <v>4</v>
      </c>
      <c r="AU20" s="56" t="str">
        <f t="shared" si="7"/>
        <v/>
      </c>
      <c r="AV20" s="56">
        <f t="shared" si="13"/>
        <v>8</v>
      </c>
      <c r="AW20" s="56" t="s">
        <v>330</v>
      </c>
      <c r="AX20" s="59" t="s">
        <v>364</v>
      </c>
      <c r="AY20" s="59">
        <v>9082937045</v>
      </c>
      <c r="AZ20" s="56" t="s">
        <v>336</v>
      </c>
      <c r="BA20" s="59">
        <v>8039162381</v>
      </c>
      <c r="BB20" s="118" t="s">
        <v>326</v>
      </c>
      <c r="BC20" s="56">
        <v>3</v>
      </c>
      <c r="BD20" s="88"/>
      <c r="BE20" s="61"/>
      <c r="BF20" s="55"/>
    </row>
    <row r="21" spans="1:58" s="54" customFormat="1" ht="21.6" customHeight="1" x14ac:dyDescent="0.45">
      <c r="A21" s="72">
        <v>17</v>
      </c>
      <c r="B21" s="57" t="s">
        <v>499</v>
      </c>
      <c r="C21" s="57"/>
      <c r="D21" s="57"/>
      <c r="E21" s="57"/>
      <c r="F21" s="57"/>
      <c r="G21" s="57"/>
      <c r="H21" s="57"/>
      <c r="I21" s="57"/>
      <c r="J21" s="57"/>
      <c r="K21" s="57"/>
      <c r="L21" s="57"/>
      <c r="M21" s="56" t="str">
        <f>IF(M$4="月","昼",IF(M$4="火","お",""))</f>
        <v/>
      </c>
      <c r="N21" s="56" t="str">
        <f t="shared" ref="N21:AP21" si="21">IF(N$4="月","昼",IF(N$4="火","お",""))</f>
        <v/>
      </c>
      <c r="O21" s="56" t="str">
        <f t="shared" si="21"/>
        <v/>
      </c>
      <c r="P21" s="56" t="str">
        <f t="shared" si="21"/>
        <v/>
      </c>
      <c r="Q21" s="56" t="str">
        <f t="shared" si="21"/>
        <v/>
      </c>
      <c r="R21" s="56"/>
      <c r="S21" s="56"/>
      <c r="T21" s="56"/>
      <c r="U21" s="56"/>
      <c r="V21" s="56" t="str">
        <f t="shared" si="21"/>
        <v/>
      </c>
      <c r="W21" s="56"/>
      <c r="X21" s="56"/>
      <c r="Y21" s="56"/>
      <c r="Z21" s="56"/>
      <c r="AA21" s="56" t="str">
        <f t="shared" si="21"/>
        <v/>
      </c>
      <c r="AB21" s="56" t="str">
        <f t="shared" si="21"/>
        <v/>
      </c>
      <c r="AC21" s="56" t="str">
        <f t="shared" si="21"/>
        <v/>
      </c>
      <c r="AD21" s="56" t="str">
        <f t="shared" si="21"/>
        <v/>
      </c>
      <c r="AE21" s="56"/>
      <c r="AF21" s="56"/>
      <c r="AG21" s="56"/>
      <c r="AH21" s="56" t="str">
        <f t="shared" si="21"/>
        <v/>
      </c>
      <c r="AI21" s="56" t="str">
        <f t="shared" si="21"/>
        <v/>
      </c>
      <c r="AJ21" s="56" t="str">
        <f t="shared" si="21"/>
        <v/>
      </c>
      <c r="AK21" s="56" t="str">
        <f t="shared" si="21"/>
        <v/>
      </c>
      <c r="AL21" s="56"/>
      <c r="AM21" s="56"/>
      <c r="AN21" s="56"/>
      <c r="AO21" s="56" t="str">
        <f t="shared" si="21"/>
        <v/>
      </c>
      <c r="AP21" s="56" t="str">
        <f t="shared" si="21"/>
        <v/>
      </c>
      <c r="AQ21" s="56" t="str">
        <f t="shared" ref="AQ21" si="22">IF(AQ$4="火","昼",IF(AQ$4="水","お",""))</f>
        <v/>
      </c>
      <c r="AR21" s="56" t="str">
        <f t="shared" si="4"/>
        <v/>
      </c>
      <c r="AS21" s="56" t="str">
        <f t="shared" si="5"/>
        <v/>
      </c>
      <c r="AT21" s="56" t="str">
        <f t="shared" si="6"/>
        <v/>
      </c>
      <c r="AU21" s="56" t="str">
        <f t="shared" si="7"/>
        <v/>
      </c>
      <c r="AV21" s="56">
        <f t="shared" si="13"/>
        <v>0</v>
      </c>
      <c r="AW21" s="56" t="s">
        <v>323</v>
      </c>
      <c r="AX21" s="56" t="s">
        <v>500</v>
      </c>
      <c r="AY21" s="59">
        <v>9019451217</v>
      </c>
      <c r="AZ21" s="56" t="s">
        <v>380</v>
      </c>
      <c r="BA21" s="59">
        <v>8033750538</v>
      </c>
      <c r="BB21" s="66" t="s">
        <v>326</v>
      </c>
      <c r="BC21" s="56">
        <v>3</v>
      </c>
      <c r="BD21" s="88"/>
      <c r="BE21" s="61"/>
      <c r="BF21" s="55"/>
    </row>
    <row r="22" spans="1:58" s="54" customFormat="1" ht="21.6" customHeight="1" x14ac:dyDescent="0.45">
      <c r="A22" s="72">
        <v>18</v>
      </c>
      <c r="B22" s="57" t="s">
        <v>473</v>
      </c>
      <c r="C22" s="57"/>
      <c r="D22" s="57"/>
      <c r="E22" s="57"/>
      <c r="F22" s="57"/>
      <c r="G22" s="57"/>
      <c r="H22" s="57"/>
      <c r="I22" s="57"/>
      <c r="J22" s="57"/>
      <c r="K22" s="57"/>
      <c r="L22" s="57"/>
      <c r="M22" s="56"/>
      <c r="N22" s="56"/>
      <c r="O22" s="56"/>
      <c r="P22" s="56"/>
      <c r="Q22" s="56"/>
      <c r="R22" s="56"/>
      <c r="S22" s="56"/>
      <c r="T22" s="56"/>
      <c r="U22" s="56"/>
      <c r="V22" s="56" t="s">
        <v>318</v>
      </c>
      <c r="W22" s="56" t="s">
        <v>319</v>
      </c>
      <c r="X22" s="58" t="s">
        <v>320</v>
      </c>
      <c r="Y22" s="56"/>
      <c r="Z22" s="56"/>
      <c r="AA22" s="58"/>
      <c r="AB22" s="72"/>
      <c r="AC22" s="56"/>
      <c r="AD22" s="56"/>
      <c r="AE22" s="56"/>
      <c r="AF22" s="56"/>
      <c r="AG22" s="56"/>
      <c r="AH22" s="56"/>
      <c r="AI22" s="57"/>
      <c r="AJ22" s="56"/>
      <c r="AK22" s="56"/>
      <c r="AL22" s="56"/>
      <c r="AM22" s="56"/>
      <c r="AN22" s="56"/>
      <c r="AO22" s="56"/>
      <c r="AP22" s="56"/>
      <c r="AQ22" s="56"/>
      <c r="AR22" s="56">
        <f t="shared" si="4"/>
        <v>1</v>
      </c>
      <c r="AS22" s="56">
        <f t="shared" si="5"/>
        <v>1</v>
      </c>
      <c r="AT22" s="56">
        <f t="shared" si="6"/>
        <v>1</v>
      </c>
      <c r="AU22" s="56" t="str">
        <f t="shared" si="7"/>
        <v/>
      </c>
      <c r="AV22" s="56">
        <f t="shared" si="13"/>
        <v>3</v>
      </c>
      <c r="AW22" s="56" t="s">
        <v>323</v>
      </c>
      <c r="AX22" s="56" t="s">
        <v>474</v>
      </c>
      <c r="AY22" s="59">
        <v>9068577835</v>
      </c>
      <c r="AZ22" s="56" t="s">
        <v>475</v>
      </c>
      <c r="BA22" s="59">
        <v>9016132846</v>
      </c>
      <c r="BB22" s="66" t="s">
        <v>326</v>
      </c>
      <c r="BC22" s="56"/>
      <c r="BD22" s="88"/>
      <c r="BE22" s="61"/>
      <c r="BF22" s="55"/>
    </row>
    <row r="23" spans="1:58" s="54" customFormat="1" ht="21.6" customHeight="1" x14ac:dyDescent="0.45">
      <c r="A23" s="72">
        <v>19</v>
      </c>
      <c r="B23" s="57" t="s">
        <v>511</v>
      </c>
      <c r="C23" s="57"/>
      <c r="D23" s="57"/>
      <c r="E23" s="57"/>
      <c r="F23" s="57"/>
      <c r="G23" s="57"/>
      <c r="H23" s="57"/>
      <c r="I23" s="57"/>
      <c r="J23" s="57"/>
      <c r="K23" s="57"/>
      <c r="L23" s="57"/>
      <c r="M23" s="76" t="s">
        <v>319</v>
      </c>
      <c r="N23" s="56" t="s">
        <v>319</v>
      </c>
      <c r="O23" s="56" t="s">
        <v>319</v>
      </c>
      <c r="P23" s="76" t="s">
        <v>319</v>
      </c>
      <c r="Q23" s="56" t="s">
        <v>319</v>
      </c>
      <c r="R23" s="56" t="s">
        <v>319</v>
      </c>
      <c r="S23" s="56" t="s">
        <v>319</v>
      </c>
      <c r="T23" s="76" t="s">
        <v>319</v>
      </c>
      <c r="U23" s="56" t="s">
        <v>319</v>
      </c>
      <c r="V23" s="56" t="s">
        <v>320</v>
      </c>
      <c r="W23" s="72" t="s">
        <v>321</v>
      </c>
      <c r="X23" s="72" t="s">
        <v>319</v>
      </c>
      <c r="Y23" s="72" t="s">
        <v>319</v>
      </c>
      <c r="Z23" s="72" t="s">
        <v>319</v>
      </c>
      <c r="AA23" s="76" t="s">
        <v>319</v>
      </c>
      <c r="AB23" s="72" t="s">
        <v>319</v>
      </c>
      <c r="AC23" s="72" t="s">
        <v>319</v>
      </c>
      <c r="AD23" s="76" t="s">
        <v>319</v>
      </c>
      <c r="AE23" s="72" t="s">
        <v>319</v>
      </c>
      <c r="AF23" s="56" t="s">
        <v>319</v>
      </c>
      <c r="AG23" s="76" t="s">
        <v>319</v>
      </c>
      <c r="AH23" s="56" t="s">
        <v>319</v>
      </c>
      <c r="AI23" s="56" t="s">
        <v>319</v>
      </c>
      <c r="AJ23" s="76" t="s">
        <v>319</v>
      </c>
      <c r="AK23" s="56" t="s">
        <v>321</v>
      </c>
      <c r="AL23" s="56"/>
      <c r="AM23" s="56" t="s">
        <v>318</v>
      </c>
      <c r="AN23" s="76" t="s">
        <v>319</v>
      </c>
      <c r="AO23" s="56" t="s">
        <v>319</v>
      </c>
      <c r="AP23" s="56" t="s">
        <v>319</v>
      </c>
      <c r="AQ23" s="56"/>
      <c r="AR23" s="56">
        <f t="shared" si="4"/>
        <v>1</v>
      </c>
      <c r="AS23" s="56">
        <f t="shared" si="5"/>
        <v>25</v>
      </c>
      <c r="AT23" s="56">
        <f t="shared" si="6"/>
        <v>1</v>
      </c>
      <c r="AU23" s="56">
        <f t="shared" si="7"/>
        <v>2</v>
      </c>
      <c r="AV23" s="56">
        <f t="shared" si="13"/>
        <v>29</v>
      </c>
      <c r="AW23" s="56" t="s">
        <v>330</v>
      </c>
      <c r="AX23" s="56" t="s">
        <v>362</v>
      </c>
      <c r="AY23" s="59">
        <v>9075855328</v>
      </c>
      <c r="AZ23" s="56" t="s">
        <v>336</v>
      </c>
      <c r="BA23" s="59">
        <v>8039162381</v>
      </c>
      <c r="BB23" s="66" t="s">
        <v>337</v>
      </c>
      <c r="BC23" s="56">
        <v>1</v>
      </c>
      <c r="BD23" s="88"/>
      <c r="BE23" s="61"/>
      <c r="BF23" s="55"/>
    </row>
    <row r="24" spans="1:58" s="54" customFormat="1" ht="21.6" customHeight="1" x14ac:dyDescent="0.45">
      <c r="A24" s="72">
        <v>21</v>
      </c>
      <c r="B24" s="57" t="s">
        <v>512</v>
      </c>
      <c r="C24" s="57"/>
      <c r="D24" s="57"/>
      <c r="E24" s="57"/>
      <c r="F24" s="57"/>
      <c r="G24" s="57"/>
      <c r="H24" s="57"/>
      <c r="I24" s="57"/>
      <c r="J24" s="57"/>
      <c r="K24" s="57"/>
      <c r="L24" s="57"/>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t="str">
        <f t="shared" si="4"/>
        <v/>
      </c>
      <c r="AS24" s="56" t="str">
        <f t="shared" si="5"/>
        <v/>
      </c>
      <c r="AT24" s="56" t="str">
        <f t="shared" si="6"/>
        <v/>
      </c>
      <c r="AU24" s="56" t="str">
        <f t="shared" si="7"/>
        <v/>
      </c>
      <c r="AV24" s="56" t="str">
        <f t="shared" si="13"/>
        <v/>
      </c>
      <c r="AW24" s="56" t="s">
        <v>323</v>
      </c>
      <c r="AX24" s="56" t="s">
        <v>513</v>
      </c>
      <c r="AY24" s="59">
        <v>9068678539</v>
      </c>
      <c r="AZ24" s="56" t="s">
        <v>369</v>
      </c>
      <c r="BA24" s="59">
        <v>8064920886</v>
      </c>
      <c r="BB24" s="66"/>
      <c r="BC24" s="56">
        <v>4</v>
      </c>
      <c r="BD24" s="88"/>
      <c r="BE24" s="61"/>
      <c r="BF24" s="55"/>
    </row>
    <row r="25" spans="1:58" s="54" customFormat="1" ht="21.6" customHeight="1" x14ac:dyDescent="0.45">
      <c r="A25" s="72">
        <v>22</v>
      </c>
      <c r="B25" s="57" t="s">
        <v>514</v>
      </c>
      <c r="C25" s="57"/>
      <c r="D25" s="57"/>
      <c r="E25" s="57"/>
      <c r="F25" s="57"/>
      <c r="G25" s="57"/>
      <c r="H25" s="57"/>
      <c r="I25" s="57"/>
      <c r="J25" s="57"/>
      <c r="K25" s="57"/>
      <c r="L25" s="57"/>
      <c r="M25" s="56"/>
      <c r="N25" s="56"/>
      <c r="O25" s="56"/>
      <c r="P25" s="56"/>
      <c r="Q25" s="56"/>
      <c r="R25" s="56"/>
      <c r="S25" s="56"/>
      <c r="T25" s="56"/>
      <c r="U25" s="56"/>
      <c r="V25" s="56"/>
      <c r="W25" s="56"/>
      <c r="X25" s="56"/>
      <c r="Y25" s="56"/>
      <c r="Z25" s="56"/>
      <c r="AA25" s="56"/>
      <c r="AB25" s="56"/>
      <c r="AC25" s="56" t="s">
        <v>318</v>
      </c>
      <c r="AD25" s="56" t="s">
        <v>319</v>
      </c>
      <c r="AE25" s="58" t="s">
        <v>320</v>
      </c>
      <c r="AF25" s="56"/>
      <c r="AG25" s="56"/>
      <c r="AH25" s="56"/>
      <c r="AI25" s="56"/>
      <c r="AJ25" s="56"/>
      <c r="AK25" s="56"/>
      <c r="AL25" s="56"/>
      <c r="AM25" s="56"/>
      <c r="AN25" s="56"/>
      <c r="AO25" s="56"/>
      <c r="AP25" s="56"/>
      <c r="AQ25" s="56"/>
      <c r="AR25" s="56">
        <f t="shared" si="4"/>
        <v>1</v>
      </c>
      <c r="AS25" s="56">
        <f t="shared" si="5"/>
        <v>1</v>
      </c>
      <c r="AT25" s="56">
        <f t="shared" si="6"/>
        <v>1</v>
      </c>
      <c r="AU25" s="56" t="str">
        <f t="shared" si="7"/>
        <v/>
      </c>
      <c r="AV25" s="56">
        <f t="shared" si="13"/>
        <v>3</v>
      </c>
      <c r="AW25" s="56" t="s">
        <v>323</v>
      </c>
      <c r="AX25" s="56" t="s">
        <v>371</v>
      </c>
      <c r="AY25" s="59">
        <v>9082930790</v>
      </c>
      <c r="AZ25" s="56" t="s">
        <v>372</v>
      </c>
      <c r="BA25" s="59">
        <v>7083029211</v>
      </c>
      <c r="BB25" s="66" t="s">
        <v>337</v>
      </c>
      <c r="BC25" s="56">
        <v>3</v>
      </c>
      <c r="BD25" s="88"/>
      <c r="BE25" s="61"/>
      <c r="BF25" s="55"/>
    </row>
    <row r="26" spans="1:58" s="54" customFormat="1" ht="21.6" customHeight="1" x14ac:dyDescent="0.45">
      <c r="A26" s="72">
        <v>23</v>
      </c>
      <c r="B26" s="57" t="s">
        <v>515</v>
      </c>
      <c r="C26" s="57"/>
      <c r="D26" s="57"/>
      <c r="E26" s="57"/>
      <c r="F26" s="57"/>
      <c r="G26" s="57"/>
      <c r="H26" s="57"/>
      <c r="I26" s="57"/>
      <c r="J26" s="57"/>
      <c r="K26" s="57"/>
      <c r="L26" s="57"/>
      <c r="M26" s="56"/>
      <c r="N26" s="56"/>
      <c r="O26" s="56"/>
      <c r="P26" s="56"/>
      <c r="Q26" s="56"/>
      <c r="R26" s="56"/>
      <c r="S26" s="56"/>
      <c r="T26" s="56"/>
      <c r="U26" s="56"/>
      <c r="V26" s="56"/>
      <c r="W26" s="56"/>
      <c r="X26" s="56"/>
      <c r="Y26" s="56"/>
      <c r="Z26" s="56"/>
      <c r="AB26" s="56" t="s">
        <v>318</v>
      </c>
      <c r="AC26" s="56" t="s">
        <v>319</v>
      </c>
      <c r="AD26" s="56" t="s">
        <v>320</v>
      </c>
      <c r="AE26" s="56"/>
      <c r="AF26" s="56"/>
      <c r="AG26" s="56"/>
      <c r="AH26" s="56"/>
      <c r="AI26" s="56"/>
      <c r="AJ26" s="56"/>
      <c r="AK26" s="72"/>
      <c r="AL26" s="56"/>
      <c r="AM26" s="56"/>
      <c r="AN26" s="56"/>
      <c r="AO26" s="56"/>
      <c r="AP26" s="56"/>
      <c r="AQ26" s="56"/>
      <c r="AR26" s="56">
        <f t="shared" si="4"/>
        <v>1</v>
      </c>
      <c r="AS26" s="56">
        <f t="shared" si="5"/>
        <v>1</v>
      </c>
      <c r="AT26" s="56">
        <f t="shared" si="6"/>
        <v>1</v>
      </c>
      <c r="AU26" s="56" t="str">
        <f t="shared" si="7"/>
        <v/>
      </c>
      <c r="AV26" s="56">
        <f t="shared" si="13"/>
        <v>3</v>
      </c>
      <c r="AW26" s="56" t="s">
        <v>323</v>
      </c>
      <c r="AX26" s="56" t="s">
        <v>516</v>
      </c>
      <c r="AY26" s="59">
        <v>9043431954</v>
      </c>
      <c r="AZ26" s="56" t="s">
        <v>517</v>
      </c>
      <c r="BA26" s="59">
        <v>9085077791</v>
      </c>
      <c r="BB26" s="66" t="s">
        <v>326</v>
      </c>
      <c r="BC26" s="56">
        <v>3</v>
      </c>
      <c r="BD26" s="88"/>
      <c r="BE26" s="61"/>
      <c r="BF26" s="55"/>
    </row>
    <row r="27" spans="1:58" s="54" customFormat="1" ht="21.6" customHeight="1" x14ac:dyDescent="0.45">
      <c r="A27" s="72">
        <v>24</v>
      </c>
      <c r="B27" s="57" t="s">
        <v>518</v>
      </c>
      <c r="C27" s="57"/>
      <c r="D27" s="57"/>
      <c r="E27" s="57"/>
      <c r="F27" s="57"/>
      <c r="G27" s="57"/>
      <c r="H27" s="57"/>
      <c r="I27" s="57"/>
      <c r="J27" s="57"/>
      <c r="K27" s="57"/>
      <c r="L27" s="57"/>
      <c r="M27" s="56"/>
      <c r="N27" s="56"/>
      <c r="O27" s="56"/>
      <c r="P27" s="56"/>
      <c r="Q27" s="56"/>
      <c r="R27" s="56"/>
      <c r="S27" s="56" t="s">
        <v>318</v>
      </c>
      <c r="T27" s="56"/>
      <c r="U27" s="56"/>
      <c r="V27" s="56"/>
      <c r="W27" s="56"/>
      <c r="X27" s="56"/>
      <c r="Y27" s="56"/>
      <c r="Z27" s="56"/>
      <c r="AA27" s="56"/>
      <c r="AB27" s="56"/>
      <c r="AC27" s="56"/>
      <c r="AD27" s="58"/>
      <c r="AE27" s="56"/>
      <c r="AF27" s="56"/>
      <c r="AG27" s="56"/>
      <c r="AH27" s="56"/>
      <c r="AI27" s="56"/>
      <c r="AJ27" s="56"/>
      <c r="AK27" s="56"/>
      <c r="AL27" s="56"/>
      <c r="AM27" s="56"/>
      <c r="AN27" s="56"/>
      <c r="AO27" s="56"/>
      <c r="AP27" s="56"/>
      <c r="AQ27" s="56"/>
      <c r="AR27" s="56">
        <f t="shared" si="4"/>
        <v>1</v>
      </c>
      <c r="AS27" s="56" t="str">
        <f t="shared" si="5"/>
        <v/>
      </c>
      <c r="AT27" s="56" t="str">
        <f t="shared" si="6"/>
        <v/>
      </c>
      <c r="AU27" s="56" t="str">
        <f t="shared" si="7"/>
        <v/>
      </c>
      <c r="AV27" s="56">
        <f t="shared" si="13"/>
        <v>1</v>
      </c>
      <c r="AW27" s="56" t="s">
        <v>323</v>
      </c>
      <c r="AX27" s="56" t="s">
        <v>519</v>
      </c>
      <c r="AY27" s="59">
        <v>8032297117</v>
      </c>
      <c r="AZ27" s="56" t="s">
        <v>336</v>
      </c>
      <c r="BA27" s="59">
        <v>8039162381</v>
      </c>
      <c r="BB27" s="66"/>
      <c r="BC27" s="56">
        <v>3</v>
      </c>
      <c r="BD27" s="88"/>
      <c r="BE27" s="61"/>
      <c r="BF27" s="55"/>
    </row>
    <row r="28" spans="1:58" s="54" customFormat="1" ht="21.6" customHeight="1" x14ac:dyDescent="0.45">
      <c r="A28" s="72">
        <v>25</v>
      </c>
      <c r="B28" s="57" t="s">
        <v>520</v>
      </c>
      <c r="C28" s="57"/>
      <c r="D28" s="57"/>
      <c r="E28" s="57"/>
      <c r="F28" s="57"/>
      <c r="G28" s="57"/>
      <c r="H28" s="57"/>
      <c r="I28" s="57"/>
      <c r="J28" s="57"/>
      <c r="K28" s="57"/>
      <c r="L28" s="57"/>
      <c r="M28" s="56"/>
      <c r="N28" s="56"/>
      <c r="O28" s="56"/>
      <c r="P28" s="56"/>
      <c r="Q28" s="56"/>
      <c r="R28" s="56"/>
      <c r="S28" s="56"/>
      <c r="T28" s="56"/>
      <c r="U28" s="56"/>
      <c r="V28" s="56"/>
      <c r="W28" s="56"/>
      <c r="X28" s="56"/>
      <c r="Y28" s="56"/>
      <c r="Z28" s="56"/>
      <c r="AA28" s="58"/>
      <c r="AB28" s="72"/>
      <c r="AC28" s="56"/>
      <c r="AD28" s="56"/>
      <c r="AE28" s="58" t="s">
        <v>318</v>
      </c>
      <c r="AF28" s="56" t="s">
        <v>320</v>
      </c>
      <c r="AG28" s="56"/>
      <c r="AH28" s="56"/>
      <c r="AI28" s="57"/>
      <c r="AJ28" s="56"/>
      <c r="AK28" s="56"/>
      <c r="AL28" s="56"/>
      <c r="AM28" s="56"/>
      <c r="AN28" s="56"/>
      <c r="AO28" s="56"/>
      <c r="AP28" s="56"/>
      <c r="AQ28" s="56"/>
      <c r="AR28" s="56">
        <f t="shared" si="4"/>
        <v>1</v>
      </c>
      <c r="AS28" s="56" t="str">
        <f t="shared" si="5"/>
        <v/>
      </c>
      <c r="AT28" s="56">
        <f t="shared" si="6"/>
        <v>1</v>
      </c>
      <c r="AU28" s="56" t="str">
        <f t="shared" si="7"/>
        <v/>
      </c>
      <c r="AV28" s="56">
        <f t="shared" si="13"/>
        <v>2</v>
      </c>
      <c r="AW28" s="56" t="s">
        <v>323</v>
      </c>
      <c r="AX28" s="56" t="s">
        <v>374</v>
      </c>
      <c r="AY28" s="59">
        <v>8064937799</v>
      </c>
      <c r="AZ28" s="56" t="s">
        <v>375</v>
      </c>
      <c r="BA28" s="59">
        <v>8075301442</v>
      </c>
      <c r="BB28" s="66"/>
      <c r="BC28" s="56">
        <v>3</v>
      </c>
      <c r="BD28" s="88"/>
      <c r="BE28" s="61"/>
      <c r="BF28" s="55"/>
    </row>
    <row r="29" spans="1:58" s="54" customFormat="1" ht="21.6" customHeight="1" x14ac:dyDescent="0.45">
      <c r="A29" s="72">
        <v>26</v>
      </c>
      <c r="B29" s="57" t="s">
        <v>508</v>
      </c>
      <c r="C29" s="57"/>
      <c r="D29" s="57"/>
      <c r="E29" s="57"/>
      <c r="F29" s="57"/>
      <c r="G29" s="57"/>
      <c r="H29" s="57"/>
      <c r="I29" s="57"/>
      <c r="J29" s="57"/>
      <c r="K29" s="57"/>
      <c r="L29" s="57"/>
      <c r="M29" s="56"/>
      <c r="N29" s="56"/>
      <c r="O29" s="56"/>
      <c r="P29" s="56"/>
      <c r="Q29" s="56"/>
      <c r="R29" s="56"/>
      <c r="S29" s="56"/>
      <c r="T29" s="56"/>
      <c r="U29" s="56"/>
      <c r="V29" s="56"/>
      <c r="W29" s="56"/>
      <c r="X29" s="56"/>
      <c r="Y29" s="56"/>
      <c r="Z29" s="56"/>
      <c r="AA29" s="58"/>
      <c r="AB29" s="72"/>
      <c r="AC29" s="56"/>
      <c r="AD29" s="56"/>
      <c r="AE29" s="56"/>
      <c r="AF29" s="56"/>
      <c r="AG29" s="56"/>
      <c r="AH29" s="56"/>
      <c r="AI29" s="57"/>
      <c r="AJ29" s="56"/>
      <c r="AK29" s="56"/>
      <c r="AL29" s="56"/>
      <c r="AM29" s="56"/>
      <c r="AN29" s="56" t="s">
        <v>318</v>
      </c>
      <c r="AO29" s="56" t="s">
        <v>319</v>
      </c>
      <c r="AP29" s="56" t="s">
        <v>320</v>
      </c>
      <c r="AQ29" s="56"/>
      <c r="AR29" s="56">
        <f t="shared" si="4"/>
        <v>1</v>
      </c>
      <c r="AS29" s="56">
        <f t="shared" si="5"/>
        <v>1</v>
      </c>
      <c r="AT29" s="56">
        <f t="shared" si="6"/>
        <v>1</v>
      </c>
      <c r="AU29" s="56" t="str">
        <f t="shared" si="7"/>
        <v/>
      </c>
      <c r="AV29" s="56">
        <f t="shared" si="13"/>
        <v>3</v>
      </c>
      <c r="AW29" s="56"/>
      <c r="AX29" s="56" t="s">
        <v>509</v>
      </c>
      <c r="AY29" s="59">
        <v>9019431314</v>
      </c>
      <c r="AZ29" s="56" t="s">
        <v>475</v>
      </c>
      <c r="BA29" s="59">
        <v>9016132846</v>
      </c>
      <c r="BB29" s="66"/>
      <c r="BC29" s="56"/>
      <c r="BD29" s="88"/>
      <c r="BE29" s="61"/>
      <c r="BF29" s="55"/>
    </row>
    <row r="30" spans="1:58" s="54" customFormat="1" ht="21.6" customHeight="1" x14ac:dyDescent="0.45">
      <c r="A30" s="72">
        <v>27</v>
      </c>
      <c r="B30" s="57"/>
      <c r="C30" s="57"/>
      <c r="D30" s="57"/>
      <c r="E30" s="57"/>
      <c r="F30" s="57"/>
      <c r="G30" s="57"/>
      <c r="H30" s="57"/>
      <c r="I30" s="57"/>
      <c r="J30" s="57"/>
      <c r="K30" s="57"/>
      <c r="L30" s="57"/>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t="str">
        <f t="shared" si="4"/>
        <v/>
      </c>
      <c r="AS30" s="56" t="str">
        <f t="shared" si="5"/>
        <v/>
      </c>
      <c r="AT30" s="56" t="str">
        <f t="shared" si="6"/>
        <v/>
      </c>
      <c r="AU30" s="56" t="str">
        <f t="shared" si="7"/>
        <v/>
      </c>
      <c r="AV30" s="56" t="str">
        <f t="shared" si="13"/>
        <v/>
      </c>
      <c r="AW30" s="56"/>
      <c r="AX30" s="56"/>
      <c r="AY30" s="59"/>
      <c r="AZ30" s="56"/>
      <c r="BA30" s="59"/>
      <c r="BB30" s="66"/>
      <c r="BC30" s="56"/>
      <c r="BD30" s="88"/>
      <c r="BE30" s="61"/>
      <c r="BF30" s="55"/>
    </row>
    <row r="31" spans="1:58" s="54" customFormat="1" ht="21.6" customHeight="1" x14ac:dyDescent="0.45">
      <c r="A31" s="72"/>
      <c r="B31" s="57" t="s">
        <v>387</v>
      </c>
      <c r="C31" s="57"/>
      <c r="D31" s="57"/>
      <c r="E31" s="57"/>
      <c r="F31" s="57"/>
      <c r="G31" s="57"/>
      <c r="H31" s="57"/>
      <c r="I31" s="57"/>
      <c r="J31" s="57"/>
      <c r="K31" s="57"/>
      <c r="L31" s="57"/>
      <c r="M31" s="56">
        <f t="shared" ref="M31:AQ31" si="23">COUNTIF(M5:M30,"朝")+COUNTIF(M5:M30,"昼")+COUNTIF(M5:M30,"夕")+COUNTIF(M5:M30,"お")+COUNTIF(M5:M30,"○")</f>
        <v>6</v>
      </c>
      <c r="N31" s="56">
        <f t="shared" si="23"/>
        <v>8</v>
      </c>
      <c r="O31" s="56">
        <f t="shared" si="23"/>
        <v>5</v>
      </c>
      <c r="P31" s="56">
        <f t="shared" si="23"/>
        <v>7</v>
      </c>
      <c r="Q31" s="56">
        <f t="shared" si="23"/>
        <v>8</v>
      </c>
      <c r="R31" s="56">
        <f t="shared" si="23"/>
        <v>7</v>
      </c>
      <c r="S31" s="56">
        <f t="shared" si="23"/>
        <v>6</v>
      </c>
      <c r="T31" s="56">
        <f t="shared" si="23"/>
        <v>5</v>
      </c>
      <c r="U31" s="56">
        <f t="shared" si="23"/>
        <v>7</v>
      </c>
      <c r="V31" s="56">
        <f t="shared" si="23"/>
        <v>7</v>
      </c>
      <c r="W31" s="56">
        <f t="shared" si="23"/>
        <v>8</v>
      </c>
      <c r="X31" s="56">
        <f t="shared" si="23"/>
        <v>10</v>
      </c>
      <c r="Y31" s="56">
        <f t="shared" si="23"/>
        <v>8</v>
      </c>
      <c r="Z31" s="56">
        <f t="shared" si="23"/>
        <v>7</v>
      </c>
      <c r="AA31" s="56">
        <f t="shared" si="23"/>
        <v>6</v>
      </c>
      <c r="AB31" s="56">
        <f t="shared" si="23"/>
        <v>8</v>
      </c>
      <c r="AC31" s="56">
        <f t="shared" si="23"/>
        <v>7</v>
      </c>
      <c r="AD31" s="56">
        <f t="shared" si="23"/>
        <v>8</v>
      </c>
      <c r="AE31" s="56">
        <f t="shared" si="23"/>
        <v>9</v>
      </c>
      <c r="AF31" s="56">
        <f t="shared" si="23"/>
        <v>7</v>
      </c>
      <c r="AG31" s="56">
        <f t="shared" si="23"/>
        <v>6</v>
      </c>
      <c r="AH31" s="56">
        <f t="shared" si="23"/>
        <v>6</v>
      </c>
      <c r="AI31" s="56">
        <f t="shared" si="23"/>
        <v>8</v>
      </c>
      <c r="AJ31" s="56">
        <f t="shared" si="23"/>
        <v>7</v>
      </c>
      <c r="AK31" s="56">
        <f t="shared" si="23"/>
        <v>8</v>
      </c>
      <c r="AL31" s="56">
        <f t="shared" si="23"/>
        <v>9</v>
      </c>
      <c r="AM31" s="56">
        <f t="shared" si="23"/>
        <v>7</v>
      </c>
      <c r="AN31" s="56">
        <f t="shared" si="23"/>
        <v>6</v>
      </c>
      <c r="AO31" s="56">
        <f t="shared" si="23"/>
        <v>6</v>
      </c>
      <c r="AP31" s="56">
        <f t="shared" si="23"/>
        <v>7</v>
      </c>
      <c r="AQ31" s="56">
        <f t="shared" si="23"/>
        <v>0</v>
      </c>
      <c r="AR31" s="56">
        <f>COUNTIF(AR6:AR30,"朝")+COUNTIF(AR6:AR30,"昼")+COUNTIF(AR6:AR30,"夕")+COUNTIF(AR6:AR30,"お")+COUNTIF(AR6:AR30,"○")</f>
        <v>0</v>
      </c>
      <c r="AS31" s="56">
        <f>COUNTIF(AS6:AS30,"朝")+COUNTIF(AS6:AS30,"昼")+COUNTIF(AS6:AS30,"夕")+COUNTIF(AS6:AS30,"お")+COUNTIF(AS6:AS30,"○")</f>
        <v>0</v>
      </c>
      <c r="AT31" s="56">
        <f>COUNTIF(AT6:AT30,"朝")+COUNTIF(AT6:AT30,"昼")+COUNTIF(AT6:AT30,"夕")+COUNTIF(AT6:AT30,"お")+COUNTIF(AT6:AT30,"○")</f>
        <v>0</v>
      </c>
      <c r="AU31" s="56">
        <f>COUNTIF(AU6:AU30,"朝")+COUNTIF(AU6:AU30,"昼")+COUNTIF(AU6:AU30,"夕")+COUNTIF(AU6:AU30,"お")+COUNTIF(AU6:AU30,"○")</f>
        <v>0</v>
      </c>
      <c r="AV31" s="56">
        <f>SUM(M31:AQ31)</f>
        <v>214</v>
      </c>
      <c r="AW31" s="56"/>
      <c r="AX31" s="63" t="s">
        <v>388</v>
      </c>
      <c r="AY31" s="56" t="s">
        <v>389</v>
      </c>
      <c r="AZ31" s="56"/>
      <c r="BA31" s="56"/>
      <c r="BB31" s="56"/>
      <c r="BC31" s="118" t="s">
        <v>390</v>
      </c>
      <c r="BD31" s="88"/>
      <c r="BE31" s="61"/>
      <c r="BF31" s="55"/>
    </row>
    <row r="32" spans="1:58" s="54" customFormat="1" ht="21.6" customHeight="1" x14ac:dyDescent="0.45">
      <c r="A32" s="72"/>
      <c r="B32" s="45" t="s">
        <v>391</v>
      </c>
      <c r="C32" s="57"/>
      <c r="D32" s="57"/>
      <c r="E32" s="57"/>
      <c r="F32" s="57"/>
      <c r="G32" s="57"/>
      <c r="H32" s="57"/>
      <c r="I32" s="57"/>
      <c r="J32" s="57"/>
      <c r="K32" s="57"/>
      <c r="L32" s="57"/>
      <c r="M32" s="56">
        <f>8-M31</f>
        <v>2</v>
      </c>
      <c r="N32" s="56">
        <f t="shared" ref="N32:AQ32" si="24">8-N31</f>
        <v>0</v>
      </c>
      <c r="O32" s="56">
        <f t="shared" si="24"/>
        <v>3</v>
      </c>
      <c r="P32" s="56">
        <f t="shared" si="24"/>
        <v>1</v>
      </c>
      <c r="Q32" s="56">
        <f t="shared" si="24"/>
        <v>0</v>
      </c>
      <c r="R32" s="56">
        <f t="shared" si="24"/>
        <v>1</v>
      </c>
      <c r="S32" s="56">
        <f t="shared" si="24"/>
        <v>2</v>
      </c>
      <c r="T32" s="56">
        <f t="shared" si="24"/>
        <v>3</v>
      </c>
      <c r="U32" s="56">
        <f t="shared" si="24"/>
        <v>1</v>
      </c>
      <c r="V32" s="56">
        <f t="shared" si="24"/>
        <v>1</v>
      </c>
      <c r="W32" s="56">
        <f t="shared" si="24"/>
        <v>0</v>
      </c>
      <c r="X32" s="56">
        <f t="shared" si="24"/>
        <v>-2</v>
      </c>
      <c r="Y32" s="56">
        <f t="shared" si="24"/>
        <v>0</v>
      </c>
      <c r="Z32" s="56">
        <f t="shared" si="24"/>
        <v>1</v>
      </c>
      <c r="AA32" s="56">
        <f t="shared" si="24"/>
        <v>2</v>
      </c>
      <c r="AB32" s="56">
        <f t="shared" si="24"/>
        <v>0</v>
      </c>
      <c r="AC32" s="56">
        <f t="shared" si="24"/>
        <v>1</v>
      </c>
      <c r="AD32" s="56">
        <f t="shared" si="24"/>
        <v>0</v>
      </c>
      <c r="AE32" s="56">
        <f t="shared" si="24"/>
        <v>-1</v>
      </c>
      <c r="AF32" s="56">
        <f t="shared" si="24"/>
        <v>1</v>
      </c>
      <c r="AG32" s="56">
        <f t="shared" si="24"/>
        <v>2</v>
      </c>
      <c r="AH32" s="56">
        <f t="shared" si="24"/>
        <v>2</v>
      </c>
      <c r="AI32" s="56">
        <f t="shared" si="24"/>
        <v>0</v>
      </c>
      <c r="AJ32" s="56">
        <f t="shared" si="24"/>
        <v>1</v>
      </c>
      <c r="AK32" s="56">
        <f t="shared" si="24"/>
        <v>0</v>
      </c>
      <c r="AL32" s="56">
        <f t="shared" si="24"/>
        <v>-1</v>
      </c>
      <c r="AM32" s="56">
        <f t="shared" si="24"/>
        <v>1</v>
      </c>
      <c r="AN32" s="56">
        <f t="shared" si="24"/>
        <v>2</v>
      </c>
      <c r="AO32" s="56">
        <f t="shared" si="24"/>
        <v>2</v>
      </c>
      <c r="AP32" s="56">
        <f t="shared" si="24"/>
        <v>1</v>
      </c>
      <c r="AQ32" s="56">
        <f t="shared" si="24"/>
        <v>8</v>
      </c>
      <c r="AR32" s="56"/>
      <c r="AS32" s="56"/>
      <c r="AT32" s="56"/>
      <c r="AU32" s="56"/>
      <c r="AV32" s="56">
        <f t="shared" ref="AV32" si="25">SUM(M32:AQ32)</f>
        <v>34</v>
      </c>
      <c r="AW32" s="56"/>
      <c r="AX32" s="63">
        <f>AVERAGE(M31:AQ31)</f>
        <v>6.903225806451613</v>
      </c>
      <c r="AY32" s="65">
        <f>8*365/12-AV31</f>
        <v>29.333333333333343</v>
      </c>
      <c r="AZ32" s="65"/>
      <c r="BA32" s="65"/>
      <c r="BB32" s="56"/>
      <c r="BC32" s="63">
        <f>AVERAGE(BC5:BC31)</f>
        <v>2.7391304347826089</v>
      </c>
      <c r="BD32" s="88"/>
      <c r="BE32" s="61"/>
      <c r="BF32" s="55"/>
    </row>
    <row r="33" spans="1:58" s="54" customFormat="1" ht="21.6" customHeight="1" x14ac:dyDescent="0.45">
      <c r="A33" s="72"/>
      <c r="B33" s="57" t="s">
        <v>392</v>
      </c>
      <c r="C33" s="57"/>
      <c r="D33" s="57"/>
      <c r="E33" s="57"/>
      <c r="F33" s="57"/>
      <c r="G33" s="57"/>
      <c r="H33" s="57"/>
      <c r="I33" s="57"/>
      <c r="J33" s="57"/>
      <c r="K33" s="57"/>
      <c r="L33" s="57"/>
      <c r="M33" s="56">
        <f t="shared" ref="M33:AQ33" si="26">COUNTIF(M5:M30,"昼")</f>
        <v>1</v>
      </c>
      <c r="N33" s="56">
        <f t="shared" si="26"/>
        <v>2</v>
      </c>
      <c r="O33" s="56">
        <f t="shared" si="26"/>
        <v>0</v>
      </c>
      <c r="P33" s="56">
        <f t="shared" si="26"/>
        <v>3</v>
      </c>
      <c r="Q33" s="56">
        <f t="shared" si="26"/>
        <v>2</v>
      </c>
      <c r="R33" s="56">
        <f t="shared" si="26"/>
        <v>1</v>
      </c>
      <c r="S33" s="56">
        <f t="shared" si="26"/>
        <v>2</v>
      </c>
      <c r="T33" s="56">
        <f t="shared" si="26"/>
        <v>2</v>
      </c>
      <c r="U33" s="56">
        <f t="shared" si="26"/>
        <v>2</v>
      </c>
      <c r="V33" s="56">
        <f t="shared" si="26"/>
        <v>1</v>
      </c>
      <c r="W33" s="56">
        <f t="shared" si="26"/>
        <v>3</v>
      </c>
      <c r="X33" s="56">
        <f t="shared" si="26"/>
        <v>3</v>
      </c>
      <c r="Y33" s="56">
        <f t="shared" si="26"/>
        <v>1</v>
      </c>
      <c r="Z33" s="56">
        <f t="shared" si="26"/>
        <v>1</v>
      </c>
      <c r="AA33" s="56">
        <f t="shared" si="26"/>
        <v>1</v>
      </c>
      <c r="AB33" s="56">
        <f t="shared" si="26"/>
        <v>2</v>
      </c>
      <c r="AC33" s="56">
        <f t="shared" si="26"/>
        <v>1</v>
      </c>
      <c r="AD33" s="56">
        <f t="shared" si="26"/>
        <v>3</v>
      </c>
      <c r="AE33" s="56">
        <f t="shared" si="26"/>
        <v>3</v>
      </c>
      <c r="AF33" s="56">
        <f t="shared" si="26"/>
        <v>1</v>
      </c>
      <c r="AG33" s="56">
        <f t="shared" si="26"/>
        <v>2</v>
      </c>
      <c r="AH33" s="56">
        <f t="shared" si="26"/>
        <v>1</v>
      </c>
      <c r="AI33" s="56">
        <f t="shared" si="26"/>
        <v>2</v>
      </c>
      <c r="AJ33" s="56">
        <f t="shared" si="26"/>
        <v>0</v>
      </c>
      <c r="AK33" s="56">
        <f t="shared" si="26"/>
        <v>3</v>
      </c>
      <c r="AL33" s="56">
        <f t="shared" si="26"/>
        <v>2</v>
      </c>
      <c r="AM33" s="56">
        <f t="shared" si="26"/>
        <v>1</v>
      </c>
      <c r="AN33" s="56">
        <f t="shared" si="26"/>
        <v>2</v>
      </c>
      <c r="AO33" s="56">
        <f t="shared" si="26"/>
        <v>1</v>
      </c>
      <c r="AP33" s="56">
        <f t="shared" si="26"/>
        <v>1</v>
      </c>
      <c r="AQ33" s="56">
        <f t="shared" si="26"/>
        <v>0</v>
      </c>
      <c r="AR33" s="56">
        <f>COUNTIF(AR5:AR5,"昼")</f>
        <v>0</v>
      </c>
      <c r="AS33" s="56">
        <f>COUNTIF(AS5:AS5,"昼")</f>
        <v>0</v>
      </c>
      <c r="AT33" s="56">
        <f>COUNTIF(AT5:AT5,"昼")</f>
        <v>0</v>
      </c>
      <c r="AU33" s="56">
        <f>COUNTIF(AU5:AU5,"昼")</f>
        <v>0</v>
      </c>
      <c r="AV33" s="56">
        <f t="shared" ref="AV33:AV35" si="27">SUM(M33:AQ33)</f>
        <v>50</v>
      </c>
      <c r="AW33" s="56"/>
      <c r="AX33" s="56"/>
      <c r="AY33" s="56" t="s">
        <v>393</v>
      </c>
      <c r="AZ33" s="56"/>
      <c r="BA33" s="56"/>
      <c r="BB33" s="66"/>
      <c r="BC33" s="66"/>
      <c r="BD33" s="67"/>
      <c r="BE33" s="61"/>
      <c r="BF33" s="55"/>
    </row>
    <row r="34" spans="1:58" s="54" customFormat="1" ht="22.2" customHeight="1" x14ac:dyDescent="0.45">
      <c r="A34" s="72">
        <v>17</v>
      </c>
      <c r="B34" s="57" t="s">
        <v>394</v>
      </c>
      <c r="C34" s="57"/>
      <c r="D34" s="57"/>
      <c r="E34" s="57"/>
      <c r="F34" s="57"/>
      <c r="G34" s="57"/>
      <c r="H34" s="57"/>
      <c r="I34" s="57"/>
      <c r="J34" s="57"/>
      <c r="K34" s="57"/>
      <c r="L34" s="57"/>
      <c r="M34" s="56">
        <f t="shared" ref="M34:AQ34" si="28">COUNTIF(M5:M31,"お")</f>
        <v>0</v>
      </c>
      <c r="N34" s="56">
        <f t="shared" si="28"/>
        <v>1</v>
      </c>
      <c r="O34" s="56">
        <f t="shared" si="28"/>
        <v>2</v>
      </c>
      <c r="P34" s="56">
        <f t="shared" si="28"/>
        <v>0</v>
      </c>
      <c r="Q34" s="56">
        <f t="shared" si="28"/>
        <v>1</v>
      </c>
      <c r="R34" s="56">
        <f t="shared" si="28"/>
        <v>2</v>
      </c>
      <c r="S34" s="56">
        <f t="shared" si="28"/>
        <v>2</v>
      </c>
      <c r="T34" s="56">
        <f t="shared" si="28"/>
        <v>0</v>
      </c>
      <c r="U34" s="56">
        <f t="shared" si="28"/>
        <v>0</v>
      </c>
      <c r="V34" s="56">
        <f t="shared" si="28"/>
        <v>3</v>
      </c>
      <c r="W34" s="56">
        <f t="shared" si="28"/>
        <v>0</v>
      </c>
      <c r="X34" s="56">
        <f t="shared" si="28"/>
        <v>2</v>
      </c>
      <c r="Y34" s="56">
        <f t="shared" si="28"/>
        <v>1</v>
      </c>
      <c r="Z34" s="56">
        <f t="shared" si="28"/>
        <v>2</v>
      </c>
      <c r="AA34" s="56">
        <f t="shared" si="28"/>
        <v>0</v>
      </c>
      <c r="AB34" s="56">
        <f t="shared" si="28"/>
        <v>1</v>
      </c>
      <c r="AC34" s="56">
        <f t="shared" si="28"/>
        <v>2</v>
      </c>
      <c r="AD34" s="56">
        <f t="shared" si="28"/>
        <v>1</v>
      </c>
      <c r="AE34" s="56">
        <f t="shared" si="28"/>
        <v>2</v>
      </c>
      <c r="AF34" s="56">
        <f t="shared" si="28"/>
        <v>2</v>
      </c>
      <c r="AG34" s="56">
        <f t="shared" si="28"/>
        <v>1</v>
      </c>
      <c r="AH34" s="56">
        <f t="shared" si="28"/>
        <v>0</v>
      </c>
      <c r="AI34" s="56">
        <f t="shared" si="28"/>
        <v>0</v>
      </c>
      <c r="AJ34" s="56">
        <f t="shared" si="28"/>
        <v>2</v>
      </c>
      <c r="AK34" s="56">
        <f t="shared" si="28"/>
        <v>0</v>
      </c>
      <c r="AL34" s="56">
        <f t="shared" si="28"/>
        <v>1</v>
      </c>
      <c r="AM34" s="56">
        <f t="shared" si="28"/>
        <v>2</v>
      </c>
      <c r="AN34" s="56">
        <f t="shared" si="28"/>
        <v>1</v>
      </c>
      <c r="AO34" s="56">
        <f t="shared" si="28"/>
        <v>0</v>
      </c>
      <c r="AP34" s="56">
        <f t="shared" si="28"/>
        <v>2</v>
      </c>
      <c r="AQ34" s="56">
        <f t="shared" si="28"/>
        <v>0</v>
      </c>
      <c r="AR34" s="56">
        <f>COUNTIF(AR5:AR30,"お")</f>
        <v>0</v>
      </c>
      <c r="AS34" s="56">
        <f>COUNTIF(AS5:AS30,"お")</f>
        <v>0</v>
      </c>
      <c r="AT34" s="56">
        <f>COUNTIF(AT5:AT30,"お")</f>
        <v>0</v>
      </c>
      <c r="AU34" s="56">
        <f>COUNTIF(AU5:AU30,"お")</f>
        <v>0</v>
      </c>
      <c r="AV34" s="56">
        <f t="shared" si="27"/>
        <v>33</v>
      </c>
      <c r="AW34" s="56"/>
      <c r="AX34" s="56"/>
      <c r="AY34" s="56"/>
      <c r="AZ34" s="56"/>
      <c r="BA34" s="56"/>
      <c r="BB34" s="66"/>
      <c r="BC34" s="66"/>
      <c r="BD34" s="67"/>
      <c r="BE34" s="61"/>
      <c r="BF34" s="55"/>
    </row>
    <row r="35" spans="1:58" s="54" customFormat="1" ht="22.2" customHeight="1" x14ac:dyDescent="0.45">
      <c r="A35" s="72">
        <v>18</v>
      </c>
      <c r="B35" s="57" t="s">
        <v>395</v>
      </c>
      <c r="C35" s="57"/>
      <c r="D35" s="57"/>
      <c r="E35" s="57"/>
      <c r="F35" s="57"/>
      <c r="G35" s="57"/>
      <c r="H35" s="57"/>
      <c r="I35" s="57"/>
      <c r="J35" s="57"/>
      <c r="K35" s="57"/>
      <c r="L35" s="57"/>
      <c r="M35" s="56">
        <f t="shared" ref="M35:AQ35" si="29">COUNTIF(M5:M30,"お")+COUNTIF(M5:M30,"夕")</f>
        <v>0</v>
      </c>
      <c r="N35" s="56">
        <f t="shared" si="29"/>
        <v>2</v>
      </c>
      <c r="O35" s="56">
        <f t="shared" si="29"/>
        <v>2</v>
      </c>
      <c r="P35" s="56">
        <f t="shared" si="29"/>
        <v>1</v>
      </c>
      <c r="Q35" s="56">
        <f t="shared" si="29"/>
        <v>2</v>
      </c>
      <c r="R35" s="56">
        <f t="shared" si="29"/>
        <v>3</v>
      </c>
      <c r="S35" s="56">
        <f t="shared" si="29"/>
        <v>2</v>
      </c>
      <c r="T35" s="56">
        <f t="shared" si="29"/>
        <v>0</v>
      </c>
      <c r="U35" s="56">
        <f t="shared" si="29"/>
        <v>1</v>
      </c>
      <c r="V35" s="56">
        <f t="shared" si="29"/>
        <v>3</v>
      </c>
      <c r="W35" s="56">
        <f t="shared" si="29"/>
        <v>2</v>
      </c>
      <c r="X35" s="56">
        <f t="shared" si="29"/>
        <v>3</v>
      </c>
      <c r="Y35" s="56">
        <f t="shared" si="29"/>
        <v>2</v>
      </c>
      <c r="Z35" s="56">
        <f t="shared" si="29"/>
        <v>2</v>
      </c>
      <c r="AA35" s="56">
        <f t="shared" si="29"/>
        <v>0</v>
      </c>
      <c r="AB35" s="56">
        <f t="shared" si="29"/>
        <v>2</v>
      </c>
      <c r="AC35" s="56">
        <f t="shared" si="29"/>
        <v>2</v>
      </c>
      <c r="AD35" s="56">
        <f t="shared" si="29"/>
        <v>2</v>
      </c>
      <c r="AE35" s="56">
        <f t="shared" si="29"/>
        <v>3</v>
      </c>
      <c r="AF35" s="56">
        <f t="shared" si="29"/>
        <v>3</v>
      </c>
      <c r="AG35" s="56">
        <f t="shared" si="29"/>
        <v>1</v>
      </c>
      <c r="AH35" s="56">
        <f t="shared" si="29"/>
        <v>0</v>
      </c>
      <c r="AI35" s="56">
        <f t="shared" si="29"/>
        <v>1</v>
      </c>
      <c r="AJ35" s="56">
        <f t="shared" si="29"/>
        <v>2</v>
      </c>
      <c r="AK35" s="56">
        <f t="shared" si="29"/>
        <v>1</v>
      </c>
      <c r="AL35" s="56">
        <f t="shared" si="29"/>
        <v>3</v>
      </c>
      <c r="AM35" s="56">
        <f t="shared" si="29"/>
        <v>3</v>
      </c>
      <c r="AN35" s="56">
        <f t="shared" si="29"/>
        <v>1</v>
      </c>
      <c r="AO35" s="56">
        <f t="shared" si="29"/>
        <v>0</v>
      </c>
      <c r="AP35" s="56">
        <f t="shared" si="29"/>
        <v>3</v>
      </c>
      <c r="AQ35" s="56">
        <f t="shared" si="29"/>
        <v>0</v>
      </c>
      <c r="AR35" s="56">
        <f>COUNTIF(AR5:AR5,"お")+COUNTIF(AR5:AR5,"夕")</f>
        <v>0</v>
      </c>
      <c r="AS35" s="56">
        <f>COUNTIF(AS5:AS5,"お")+COUNTIF(AS5:AS5,"夕")</f>
        <v>0</v>
      </c>
      <c r="AT35" s="56">
        <f>COUNTIF(AT5:AT5,"お")+COUNTIF(AT5:AT5,"夕")</f>
        <v>0</v>
      </c>
      <c r="AU35" s="56">
        <f>COUNTIF(AU5:AU5,"お")+COUNTIF(AU5:AU5,"夕")</f>
        <v>0</v>
      </c>
      <c r="AV35" s="56">
        <f t="shared" si="27"/>
        <v>52</v>
      </c>
      <c r="AW35" s="56"/>
      <c r="AX35" s="56"/>
      <c r="AY35" s="56"/>
      <c r="AZ35" s="56"/>
      <c r="BA35" s="56"/>
      <c r="BB35" s="66"/>
      <c r="BC35" s="66"/>
      <c r="BD35" s="88"/>
      <c r="BE35" s="61"/>
      <c r="BF35" s="55"/>
    </row>
    <row r="36" spans="1:58" s="54" customFormat="1" ht="24" customHeight="1" x14ac:dyDescent="0.45">
      <c r="A36" s="72"/>
      <c r="BB36" s="69"/>
      <c r="BC36" s="115"/>
      <c r="BD36" s="88"/>
      <c r="BE36" s="61"/>
      <c r="BF36" s="55"/>
    </row>
    <row r="37" spans="1:58" s="54" customFormat="1" ht="24" customHeight="1" x14ac:dyDescent="0.45">
      <c r="A37" s="72"/>
      <c r="BB37" s="69" t="s">
        <v>396</v>
      </c>
      <c r="BC37" s="115"/>
      <c r="BD37" s="88"/>
      <c r="BE37" s="61"/>
      <c r="BF37" s="55"/>
    </row>
    <row r="38" spans="1:58" s="54" customFormat="1" ht="24" customHeight="1" x14ac:dyDescent="0.45">
      <c r="A38" s="72"/>
      <c r="BB38" s="69"/>
      <c r="BC38" s="115"/>
      <c r="BD38" s="69"/>
      <c r="BE38" s="61"/>
      <c r="BF38" s="55"/>
    </row>
    <row r="39" spans="1:58" s="54" customFormat="1" ht="24" customHeight="1" x14ac:dyDescent="0.45">
      <c r="A39" s="72"/>
      <c r="BB39" s="69"/>
      <c r="BC39" s="115"/>
      <c r="BD39" s="69"/>
      <c r="BE39" s="55"/>
    </row>
    <row r="40" spans="1:58" s="54" customFormat="1" ht="24" customHeight="1" x14ac:dyDescent="0.45">
      <c r="A40" s="7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70"/>
      <c r="BC40" s="116"/>
      <c r="BD40" s="69"/>
      <c r="BE40" s="53"/>
      <c r="BF40" s="55" t="s">
        <v>401</v>
      </c>
    </row>
    <row r="41" spans="1:58" s="54" customFormat="1" ht="24" customHeight="1" x14ac:dyDescent="0.45">
      <c r="A41" s="7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70"/>
      <c r="BC41" s="116"/>
      <c r="BD41" s="69"/>
      <c r="BE41" s="53"/>
      <c r="BF41" s="55"/>
    </row>
    <row r="42" spans="1:58" s="54" customFormat="1" ht="24" customHeight="1" x14ac:dyDescent="0.45">
      <c r="A42" s="73"/>
      <c r="B42" s="75" t="s">
        <v>489</v>
      </c>
      <c r="C42" s="57"/>
      <c r="D42" s="57"/>
      <c r="E42" s="57"/>
      <c r="F42" s="57"/>
      <c r="G42" s="57"/>
      <c r="H42" s="57"/>
      <c r="I42" s="57"/>
      <c r="J42" s="57"/>
      <c r="K42" s="57"/>
      <c r="L42" s="57"/>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t="str">
        <f t="shared" ref="AR42:AR47" si="30">IF(COUNTIF($M42:$AQ42,"昼")=0,"",COUNTIF($M42:$AQ42,"昼"))</f>
        <v/>
      </c>
      <c r="AS42" s="56" t="str">
        <f t="shared" ref="AS42:AS47" si="31">IF(COUNTIF($M42:$AQ42,"○")=0,"",COUNTIF($M42:$AQ42,"○"))</f>
        <v/>
      </c>
      <c r="AT42" s="56" t="str">
        <f t="shared" ref="AT42:AT47" si="32">IF(COUNTIF($M42:$AQ42,"お")=0,"",COUNTIF($M42:$AQ42,"お"))</f>
        <v/>
      </c>
      <c r="AU42" s="56" t="str">
        <f t="shared" ref="AU42:AU47" si="33">IF(COUNTIF($M42:$AQ42,"夕")=0,"",COUNTIF($M42:$AQ42,"夕"))</f>
        <v/>
      </c>
      <c r="AV42" s="56" t="str">
        <f t="shared" ref="AV42" si="34">IF(COUNTA(M42:AQ42)=0,"",SUM(AR42:AU42))</f>
        <v/>
      </c>
      <c r="AW42" s="56"/>
      <c r="AX42" s="56" t="s">
        <v>336</v>
      </c>
      <c r="AY42" s="59">
        <v>8039162381</v>
      </c>
      <c r="AZ42" s="59"/>
      <c r="BA42" s="59"/>
      <c r="BB42" s="66" t="s">
        <v>326</v>
      </c>
      <c r="BC42" s="66"/>
      <c r="BD42" s="70"/>
      <c r="BE42" s="53"/>
      <c r="BF42" s="55"/>
    </row>
    <row r="43" spans="1:58" s="54" customFormat="1" ht="24" customHeight="1" x14ac:dyDescent="0.45">
      <c r="A43" s="53"/>
      <c r="B43" s="57" t="s">
        <v>397</v>
      </c>
      <c r="C43" s="57"/>
      <c r="D43" s="57"/>
      <c r="E43" s="57"/>
      <c r="F43" s="57"/>
      <c r="G43" s="57"/>
      <c r="H43" s="57"/>
      <c r="I43" s="57"/>
      <c r="J43" s="57" t="str">
        <f t="shared" ref="J43:J44" si="35">IF(COUNTA(C43:I43)=0,"",COUNTA(C43:I43))</f>
        <v/>
      </c>
      <c r="K43" s="57"/>
      <c r="L43" s="57"/>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t="str">
        <f t="shared" si="30"/>
        <v/>
      </c>
      <c r="AS43" s="56" t="str">
        <f t="shared" si="31"/>
        <v/>
      </c>
      <c r="AT43" s="56" t="str">
        <f t="shared" si="32"/>
        <v/>
      </c>
      <c r="AU43" s="56" t="str">
        <f t="shared" si="33"/>
        <v/>
      </c>
      <c r="AV43" s="56" t="str">
        <f t="shared" ref="AV43:AV47" si="36">IF(COUNTA(M43:AQ43)=0,"",SUM(AR43:AU43))</f>
        <v/>
      </c>
      <c r="AW43" s="56"/>
      <c r="AX43" s="56" t="s">
        <v>398</v>
      </c>
      <c r="AY43" s="59">
        <v>9068599322</v>
      </c>
      <c r="AZ43" s="59"/>
      <c r="BA43" s="59"/>
      <c r="BB43" s="66"/>
      <c r="BC43" s="66"/>
      <c r="BD43" s="70"/>
      <c r="BE43" s="53"/>
      <c r="BF43" s="55"/>
    </row>
    <row r="44" spans="1:58" s="54" customFormat="1" ht="24" customHeight="1" x14ac:dyDescent="0.45">
      <c r="A44" s="53"/>
      <c r="B44" s="57" t="s">
        <v>399</v>
      </c>
      <c r="C44" s="57"/>
      <c r="D44" s="57"/>
      <c r="E44" s="57"/>
      <c r="F44" s="57"/>
      <c r="G44" s="57"/>
      <c r="H44" s="57"/>
      <c r="I44" s="57"/>
      <c r="J44" s="57" t="str">
        <f t="shared" si="35"/>
        <v/>
      </c>
      <c r="K44" s="57"/>
      <c r="L44" s="57"/>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t="str">
        <f t="shared" si="30"/>
        <v/>
      </c>
      <c r="AS44" s="56" t="str">
        <f t="shared" si="31"/>
        <v/>
      </c>
      <c r="AT44" s="56" t="str">
        <f t="shared" si="32"/>
        <v/>
      </c>
      <c r="AU44" s="56" t="str">
        <f t="shared" si="33"/>
        <v/>
      </c>
      <c r="AV44" s="56" t="str">
        <f t="shared" si="36"/>
        <v/>
      </c>
      <c r="AW44" s="56"/>
      <c r="AX44" s="56" t="s">
        <v>400</v>
      </c>
      <c r="AY44" s="59">
        <v>8046668865</v>
      </c>
      <c r="AZ44" s="59"/>
      <c r="BA44" s="59"/>
      <c r="BB44" s="66"/>
      <c r="BC44" s="66"/>
      <c r="BD44" s="88"/>
      <c r="BE44" s="53"/>
      <c r="BF44" s="55"/>
    </row>
    <row r="45" spans="1:58" s="54" customFormat="1" ht="24" customHeight="1" x14ac:dyDescent="0.45">
      <c r="A45" s="53"/>
      <c r="B45" s="75" t="s">
        <v>354</v>
      </c>
      <c r="C45" s="57"/>
      <c r="D45" s="57"/>
      <c r="E45" s="57"/>
      <c r="F45" s="57"/>
      <c r="G45" s="57"/>
      <c r="H45" s="57"/>
      <c r="I45" s="57"/>
      <c r="J45" s="57"/>
      <c r="K45" s="57"/>
      <c r="L45" s="57"/>
      <c r="M45" s="56"/>
      <c r="N45" s="56"/>
      <c r="O45" s="56"/>
      <c r="P45" s="56"/>
      <c r="Q45" s="56"/>
      <c r="R45" s="56"/>
      <c r="S45" s="56"/>
      <c r="T45" s="56"/>
      <c r="U45" s="56"/>
      <c r="V45" s="56"/>
      <c r="W45" s="58"/>
      <c r="X45" s="56"/>
      <c r="Y45" s="56"/>
      <c r="Z45" s="56"/>
      <c r="AA45" s="56"/>
      <c r="AB45" s="56"/>
      <c r="AC45" s="56"/>
      <c r="AD45" s="56"/>
      <c r="AE45" s="56"/>
      <c r="AF45" s="56"/>
      <c r="AG45" s="56"/>
      <c r="AH45" s="56"/>
      <c r="AI45" s="56"/>
      <c r="AJ45" s="56"/>
      <c r="AK45" s="56"/>
      <c r="AL45" s="56"/>
      <c r="AM45" s="56"/>
      <c r="AN45" s="56"/>
      <c r="AO45" s="56"/>
      <c r="AP45" s="56"/>
      <c r="AQ45" s="56"/>
      <c r="AR45" s="56" t="str">
        <f t="shared" si="30"/>
        <v/>
      </c>
      <c r="AS45" s="56" t="str">
        <f t="shared" si="31"/>
        <v/>
      </c>
      <c r="AT45" s="56" t="str">
        <f t="shared" si="32"/>
        <v/>
      </c>
      <c r="AU45" s="56" t="str">
        <f t="shared" si="33"/>
        <v/>
      </c>
      <c r="AV45" s="56" t="str">
        <f t="shared" si="36"/>
        <v/>
      </c>
      <c r="AW45" s="56"/>
      <c r="AX45" s="56" t="s">
        <v>490</v>
      </c>
      <c r="AY45" s="59">
        <v>9079299157</v>
      </c>
      <c r="AZ45" s="59"/>
      <c r="BA45" s="59"/>
      <c r="BB45" s="66" t="s">
        <v>326</v>
      </c>
      <c r="BC45" s="66"/>
      <c r="BD45" s="88"/>
      <c r="BE45" s="53"/>
      <c r="BF45" s="55"/>
    </row>
    <row r="46" spans="1:58" s="54" customFormat="1" ht="26.4" customHeight="1" x14ac:dyDescent="0.45">
      <c r="A46" s="48"/>
      <c r="B46" s="57" t="s">
        <v>376</v>
      </c>
      <c r="C46" s="57"/>
      <c r="D46" s="57"/>
      <c r="E46" s="57"/>
      <c r="F46" s="57"/>
      <c r="G46" s="57"/>
      <c r="H46" s="57"/>
      <c r="I46" s="57"/>
      <c r="J46" s="57" t="str">
        <f t="shared" ref="J46:J47" si="37">IF(COUNTA(C46:I46)=0,"",COUNTA(C46:I46))</f>
        <v/>
      </c>
      <c r="K46" s="57"/>
      <c r="L46" s="57"/>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t="str">
        <f t="shared" si="30"/>
        <v/>
      </c>
      <c r="AS46" s="56" t="str">
        <f t="shared" si="31"/>
        <v/>
      </c>
      <c r="AT46" s="56" t="str">
        <f t="shared" si="32"/>
        <v/>
      </c>
      <c r="AU46" s="56" t="str">
        <f t="shared" si="33"/>
        <v/>
      </c>
      <c r="AV46" s="56" t="str">
        <f t="shared" si="36"/>
        <v/>
      </c>
      <c r="AW46" s="56"/>
      <c r="AX46" s="56" t="s">
        <v>336</v>
      </c>
      <c r="AY46" s="59">
        <v>8039162381</v>
      </c>
      <c r="AZ46" s="59"/>
      <c r="BA46" s="59"/>
      <c r="BB46" s="66" t="s">
        <v>347</v>
      </c>
      <c r="BC46" s="66"/>
      <c r="BD46" s="88"/>
      <c r="BE46" s="53"/>
      <c r="BF46" s="55"/>
    </row>
    <row r="47" spans="1:58" s="54" customFormat="1" ht="26.4" customHeight="1" x14ac:dyDescent="0.45">
      <c r="A47" s="48"/>
      <c r="B47" s="57" t="s">
        <v>169</v>
      </c>
      <c r="C47" s="57" t="s">
        <v>491</v>
      </c>
      <c r="D47" s="57" t="s">
        <v>492</v>
      </c>
      <c r="E47" s="57" t="s">
        <v>493</v>
      </c>
      <c r="F47" s="57" t="s">
        <v>494</v>
      </c>
      <c r="G47" s="57"/>
      <c r="H47" s="57"/>
      <c r="I47" s="57"/>
      <c r="J47" s="57">
        <f t="shared" si="37"/>
        <v>4</v>
      </c>
      <c r="K47" s="57"/>
      <c r="L47" s="57"/>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t="str">
        <f t="shared" si="30"/>
        <v/>
      </c>
      <c r="AS47" s="56" t="str">
        <f t="shared" si="31"/>
        <v/>
      </c>
      <c r="AT47" s="56" t="str">
        <f t="shared" si="32"/>
        <v/>
      </c>
      <c r="AU47" s="56" t="str">
        <f t="shared" si="33"/>
        <v/>
      </c>
      <c r="AV47" s="56" t="str">
        <f t="shared" si="36"/>
        <v/>
      </c>
      <c r="AW47" s="56"/>
      <c r="AX47" s="56" t="s">
        <v>495</v>
      </c>
      <c r="AY47" s="59" t="s">
        <v>496</v>
      </c>
      <c r="AZ47" s="59"/>
      <c r="BA47" s="59"/>
      <c r="BB47" s="66"/>
      <c r="BC47" s="66"/>
      <c r="BD47" s="88"/>
    </row>
    <row r="48" spans="1:58" s="54" customFormat="1" ht="26.4" customHeight="1" x14ac:dyDescent="0.45">
      <c r="A48" s="72">
        <v>18</v>
      </c>
      <c r="B48" s="57" t="s">
        <v>367</v>
      </c>
      <c r="C48" s="57"/>
      <c r="D48" s="57"/>
      <c r="E48" s="57"/>
      <c r="F48" s="57"/>
      <c r="G48" s="57"/>
      <c r="H48" s="57"/>
      <c r="I48" s="57"/>
      <c r="J48" s="57"/>
      <c r="K48" s="57"/>
      <c r="L48" s="57"/>
      <c r="M48" s="56"/>
      <c r="N48" s="56"/>
      <c r="O48" s="56"/>
      <c r="P48" s="58"/>
      <c r="Q48" s="56"/>
      <c r="R48" s="56"/>
      <c r="S48" s="56"/>
      <c r="T48" s="56"/>
      <c r="U48" s="56"/>
      <c r="V48" s="56"/>
      <c r="W48" s="58"/>
      <c r="X48" s="56"/>
      <c r="Y48" s="56"/>
      <c r="Z48" s="56"/>
      <c r="AA48" s="56"/>
      <c r="AB48" s="56"/>
      <c r="AC48" s="56"/>
      <c r="AD48" s="58"/>
      <c r="AE48" s="58"/>
      <c r="AF48" s="56"/>
      <c r="AG48" s="56"/>
      <c r="AH48" s="56"/>
      <c r="AI48" s="56"/>
      <c r="AJ48" s="56"/>
      <c r="AK48" s="56"/>
      <c r="AL48" s="56"/>
      <c r="AM48" s="56"/>
      <c r="AN48" s="56"/>
      <c r="AO48" s="56"/>
      <c r="AP48" s="56"/>
      <c r="AQ48" s="56"/>
      <c r="AR48" s="56"/>
      <c r="AS48" s="56"/>
      <c r="AT48" s="56"/>
      <c r="AU48" s="56"/>
      <c r="AV48" s="56"/>
      <c r="AW48" s="56">
        <v>223</v>
      </c>
      <c r="AX48" s="56" t="s">
        <v>356</v>
      </c>
      <c r="AY48" s="59">
        <v>7012498633</v>
      </c>
      <c r="AZ48" s="56" t="s">
        <v>402</v>
      </c>
      <c r="BA48" s="59">
        <v>9057498087</v>
      </c>
      <c r="BB48" s="66" t="s">
        <v>326</v>
      </c>
      <c r="BC48" s="115"/>
      <c r="BD48" s="88"/>
      <c r="BE48" s="53"/>
    </row>
    <row r="49" spans="1:58" s="54" customFormat="1" ht="26.4" customHeight="1" x14ac:dyDescent="0.45">
      <c r="A49" s="72">
        <v>19</v>
      </c>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88"/>
      <c r="BE49" s="53"/>
    </row>
    <row r="50" spans="1:58" s="54" customFormat="1" ht="26.4" customHeight="1" x14ac:dyDescent="0.45">
      <c r="A50" s="72">
        <v>20</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6.4" customHeight="1" x14ac:dyDescent="0.45">
      <c r="A51" s="72">
        <v>21</v>
      </c>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2" spans="1:58" s="54" customFormat="1" ht="21.6" x14ac:dyDescent="0.45">
      <c r="A52" s="72">
        <v>22</v>
      </c>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row>
    <row r="53" spans="1:58" s="54" customFormat="1" ht="21.6" x14ac:dyDescent="0.45">
      <c r="A53" s="72">
        <v>23</v>
      </c>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row>
    <row r="54" spans="1:58" s="54" customFormat="1" ht="21.6"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row>
    <row r="55" spans="1:58" s="54" customFormat="1" ht="21.6" x14ac:dyDescent="0.45">
      <c r="A55" s="48"/>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row>
    <row r="57" spans="1:58" s="54" customFormat="1" ht="26.4" customHeight="1"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c r="BF57" s="55"/>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row r="59" spans="1:58" s="54" customFormat="1" ht="26.4" customHeight="1" x14ac:dyDescent="0.45">
      <c r="A59" s="48"/>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70"/>
      <c r="BC59" s="116"/>
      <c r="BD59" s="70"/>
      <c r="BE59" s="53"/>
      <c r="BF59" s="55"/>
    </row>
    <row r="60" spans="1:58" s="54" customFormat="1" ht="26.4" customHeight="1" x14ac:dyDescent="0.45">
      <c r="A60" s="48"/>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70"/>
      <c r="BC60" s="116"/>
      <c r="BD60" s="70"/>
      <c r="BE60" s="53"/>
      <c r="BF60" s="55"/>
    </row>
    <row r="61" spans="1:58" s="54" customFormat="1" ht="26.4" customHeight="1" x14ac:dyDescent="0.45">
      <c r="A61" s="48"/>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70"/>
      <c r="BC61" s="116"/>
      <c r="BD61" s="70"/>
      <c r="BE61" s="53"/>
      <c r="BF61" s="55"/>
    </row>
    <row r="62" spans="1:58" s="54" customFormat="1" ht="26.4" customHeight="1" x14ac:dyDescent="0.45">
      <c r="A62" s="48"/>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70"/>
      <c r="BC62" s="116"/>
      <c r="BD62" s="70"/>
      <c r="BE62" s="53"/>
      <c r="BF62" s="55"/>
    </row>
  </sheetData>
  <mergeCells count="19">
    <mergeCell ref="BD3:BD4"/>
    <mergeCell ref="AX3:AX4"/>
    <mergeCell ref="AY3:AY4"/>
    <mergeCell ref="AZ3:AZ4"/>
    <mergeCell ref="BA3:BA4"/>
    <mergeCell ref="BB3:BB4"/>
    <mergeCell ref="BC3:BC4"/>
    <mergeCell ref="A3:A4"/>
    <mergeCell ref="B3:B4"/>
    <mergeCell ref="C3:J4"/>
    <mergeCell ref="K3:L4"/>
    <mergeCell ref="AV3:AV4"/>
    <mergeCell ref="AW3:AW4"/>
    <mergeCell ref="P1:R2"/>
    <mergeCell ref="S1:S2"/>
    <mergeCell ref="T1:U2"/>
    <mergeCell ref="V1:AN2"/>
    <mergeCell ref="AQ1:AV1"/>
    <mergeCell ref="AO2:AV2"/>
  </mergeCells>
  <phoneticPr fontId="1"/>
  <conditionalFormatting sqref="M9:AJ9 AL9:AQ9">
    <cfRule type="cellIs" dxfId="85" priority="21" operator="equal">
      <formula>"""夕"""</formula>
    </cfRule>
  </conditionalFormatting>
  <conditionalFormatting sqref="M15:AL15 M6:AQ8 AR6:AW30 AN15:AQ15 M16:AQ25 M26:Z26 AB26:AQ26 M27:AQ30">
    <cfRule type="cellIs" dxfId="84" priority="4" operator="equal">
      <formula>"お"</formula>
    </cfRule>
    <cfRule type="cellIs" dxfId="83" priority="5" operator="equal">
      <formula>"夕"</formula>
    </cfRule>
  </conditionalFormatting>
  <conditionalFormatting sqref="M10:AQ14">
    <cfRule type="cellIs" dxfId="82" priority="6" operator="equal">
      <formula>"お"</formula>
    </cfRule>
    <cfRule type="cellIs" dxfId="81" priority="7" operator="equal">
      <formula>"夕"</formula>
    </cfRule>
  </conditionalFormatting>
  <conditionalFormatting sqref="M42:AQ42">
    <cfRule type="cellIs" dxfId="80" priority="18" operator="equal">
      <formula>"""夕"""</formula>
    </cfRule>
  </conditionalFormatting>
  <conditionalFormatting sqref="M45:AQ45">
    <cfRule type="cellIs" dxfId="79" priority="20" operator="equal">
      <formula>"""夕"""</formula>
    </cfRule>
  </conditionalFormatting>
  <conditionalFormatting sqref="M4:AU4">
    <cfRule type="cellIs" dxfId="78" priority="24" operator="equal">
      <formula>"土"</formula>
    </cfRule>
    <cfRule type="cellIs" dxfId="77" priority="25" operator="equal">
      <formula>"日"</formula>
    </cfRule>
  </conditionalFormatting>
  <conditionalFormatting sqref="M31:AU31">
    <cfRule type="cellIs" dxfId="76" priority="22" operator="greaterThan">
      <formula>7</formula>
    </cfRule>
    <cfRule type="cellIs" dxfId="75" priority="23" operator="greaterThan">
      <formula>6</formula>
    </cfRule>
  </conditionalFormatting>
  <conditionalFormatting sqref="M5:AW5 M9:AJ9 AL9:AQ9">
    <cfRule type="cellIs" dxfId="74" priority="16" operator="equal">
      <formula>"お"</formula>
    </cfRule>
    <cfRule type="cellIs" dxfId="73" priority="17" operator="equal">
      <formula>"夕"</formula>
    </cfRule>
  </conditionalFormatting>
  <conditionalFormatting sqref="M42:AW48">
    <cfRule type="cellIs" dxfId="72" priority="14" operator="equal">
      <formula>"お"</formula>
    </cfRule>
    <cfRule type="cellIs" dxfId="71" priority="15" operator="equal">
      <formula>"夕"</formula>
    </cfRule>
  </conditionalFormatting>
  <conditionalFormatting sqref="P15">
    <cfRule type="containsText" dxfId="70" priority="3" operator="containsText" text="お">
      <formula>NOT(ISERROR(SEARCH("お",P15)))</formula>
    </cfRule>
  </conditionalFormatting>
  <conditionalFormatting sqref="AR42:AW42">
    <cfRule type="cellIs" dxfId="69" priority="19"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9" scale="6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B2D8-23FC-486A-AF36-F63EC7D23431}">
  <sheetPr>
    <pageSetUpPr fitToPage="1"/>
  </sheetPr>
  <dimension ref="A1:BF62"/>
  <sheetViews>
    <sheetView zoomScale="70" zoomScaleNormal="70" workbookViewId="0">
      <pane ySplit="4" topLeftCell="A15" activePane="bottomLeft" state="frozen"/>
      <selection pane="bottomLeft" activeCell="AM27" sqref="AM27"/>
    </sheetView>
  </sheetViews>
  <sheetFormatPr defaultColWidth="8.69921875" defaultRowHeight="18" x14ac:dyDescent="0.45"/>
  <cols>
    <col min="1" max="1" width="4.69921875" style="48" customWidth="1"/>
    <col min="2" max="2" width="18.5976562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21.5976562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5</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6.4" customHeight="1" x14ac:dyDescent="0.45">
      <c r="A3" s="168"/>
      <c r="B3" s="170" t="s">
        <v>0</v>
      </c>
      <c r="C3" s="165" t="s">
        <v>309</v>
      </c>
      <c r="D3" s="165"/>
      <c r="E3" s="165"/>
      <c r="F3" s="165"/>
      <c r="G3" s="165"/>
      <c r="H3" s="165"/>
      <c r="I3" s="165"/>
      <c r="J3" s="165"/>
      <c r="K3" s="165" t="s">
        <v>310</v>
      </c>
      <c r="L3" s="165"/>
      <c r="M3" s="52">
        <f>BE4</f>
        <v>46143</v>
      </c>
      <c r="N3" s="52">
        <f t="shared" ref="N3:AQ3" si="0">IF(M3=$BE$6,"",IF(M3="","",M3+1))</f>
        <v>46144</v>
      </c>
      <c r="O3" s="52">
        <f t="shared" si="0"/>
        <v>46145</v>
      </c>
      <c r="P3" s="52">
        <f t="shared" si="0"/>
        <v>46146</v>
      </c>
      <c r="Q3" s="52">
        <f t="shared" si="0"/>
        <v>46147</v>
      </c>
      <c r="R3" s="52">
        <f t="shared" si="0"/>
        <v>46148</v>
      </c>
      <c r="S3" s="52">
        <f t="shared" si="0"/>
        <v>46149</v>
      </c>
      <c r="T3" s="52">
        <f t="shared" si="0"/>
        <v>46150</v>
      </c>
      <c r="U3" s="52">
        <f t="shared" si="0"/>
        <v>46151</v>
      </c>
      <c r="V3" s="52">
        <f t="shared" si="0"/>
        <v>46152</v>
      </c>
      <c r="W3" s="52">
        <f t="shared" si="0"/>
        <v>46153</v>
      </c>
      <c r="X3" s="52">
        <f t="shared" si="0"/>
        <v>46154</v>
      </c>
      <c r="Y3" s="52">
        <f t="shared" si="0"/>
        <v>46155</v>
      </c>
      <c r="Z3" s="52">
        <f t="shared" si="0"/>
        <v>46156</v>
      </c>
      <c r="AA3" s="52">
        <f t="shared" si="0"/>
        <v>46157</v>
      </c>
      <c r="AB3" s="52">
        <f t="shared" si="0"/>
        <v>46158</v>
      </c>
      <c r="AC3" s="52">
        <f t="shared" si="0"/>
        <v>46159</v>
      </c>
      <c r="AD3" s="52">
        <f t="shared" si="0"/>
        <v>46160</v>
      </c>
      <c r="AE3" s="52">
        <f t="shared" si="0"/>
        <v>46161</v>
      </c>
      <c r="AF3" s="52">
        <f t="shared" si="0"/>
        <v>46162</v>
      </c>
      <c r="AG3" s="52">
        <f t="shared" si="0"/>
        <v>46163</v>
      </c>
      <c r="AH3" s="52">
        <f t="shared" si="0"/>
        <v>46164</v>
      </c>
      <c r="AI3" s="52">
        <f t="shared" si="0"/>
        <v>46165</v>
      </c>
      <c r="AJ3" s="52">
        <f t="shared" si="0"/>
        <v>46166</v>
      </c>
      <c r="AK3" s="52">
        <f t="shared" si="0"/>
        <v>46167</v>
      </c>
      <c r="AL3" s="52">
        <f t="shared" si="0"/>
        <v>46168</v>
      </c>
      <c r="AM3" s="52">
        <f t="shared" si="0"/>
        <v>46169</v>
      </c>
      <c r="AN3" s="52">
        <f t="shared" si="0"/>
        <v>46170</v>
      </c>
      <c r="AO3" s="52">
        <f t="shared" si="0"/>
        <v>46171</v>
      </c>
      <c r="AP3" s="52">
        <f t="shared" si="0"/>
        <v>46172</v>
      </c>
      <c r="AQ3" s="52">
        <f t="shared" si="0"/>
        <v>46173</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金</v>
      </c>
      <c r="N4" s="153" t="str">
        <f t="shared" si="1"/>
        <v>土</v>
      </c>
      <c r="O4" s="153" t="str">
        <f t="shared" si="1"/>
        <v>日</v>
      </c>
      <c r="P4" s="153" t="str">
        <f t="shared" si="1"/>
        <v>月</v>
      </c>
      <c r="Q4" s="153" t="str">
        <f t="shared" si="1"/>
        <v>火</v>
      </c>
      <c r="R4" s="153" t="str">
        <f t="shared" si="1"/>
        <v>水</v>
      </c>
      <c r="S4" s="153" t="str">
        <f t="shared" si="1"/>
        <v>木</v>
      </c>
      <c r="T4" s="153" t="str">
        <f t="shared" si="1"/>
        <v>金</v>
      </c>
      <c r="U4" s="153" t="str">
        <f t="shared" si="1"/>
        <v>土</v>
      </c>
      <c r="V4" s="153" t="str">
        <f t="shared" si="1"/>
        <v>日</v>
      </c>
      <c r="W4" s="153" t="str">
        <f t="shared" si="1"/>
        <v>月</v>
      </c>
      <c r="X4" s="153" t="str">
        <f t="shared" si="1"/>
        <v>火</v>
      </c>
      <c r="Y4" s="153" t="str">
        <f t="shared" si="1"/>
        <v>水</v>
      </c>
      <c r="Z4" s="153" t="str">
        <f t="shared" si="1"/>
        <v>木</v>
      </c>
      <c r="AA4" s="153" t="str">
        <f t="shared" si="1"/>
        <v>金</v>
      </c>
      <c r="AB4" s="153" t="str">
        <f t="shared" si="1"/>
        <v>土</v>
      </c>
      <c r="AC4" s="153" t="str">
        <f t="shared" si="1"/>
        <v>日</v>
      </c>
      <c r="AD4" s="153" t="str">
        <f t="shared" si="1"/>
        <v>月</v>
      </c>
      <c r="AE4" s="153" t="str">
        <f t="shared" si="1"/>
        <v>火</v>
      </c>
      <c r="AF4" s="153" t="str">
        <f t="shared" si="1"/>
        <v>水</v>
      </c>
      <c r="AG4" s="153" t="str">
        <f t="shared" si="1"/>
        <v>木</v>
      </c>
      <c r="AH4" s="153" t="str">
        <f t="shared" si="1"/>
        <v>金</v>
      </c>
      <c r="AI4" s="153" t="str">
        <f t="shared" si="1"/>
        <v>土</v>
      </c>
      <c r="AJ4" s="153" t="str">
        <f t="shared" si="1"/>
        <v>日</v>
      </c>
      <c r="AK4" s="153" t="str">
        <f t="shared" si="1"/>
        <v>月</v>
      </c>
      <c r="AL4" s="153" t="str">
        <f t="shared" si="1"/>
        <v>火</v>
      </c>
      <c r="AM4" s="153" t="str">
        <f t="shared" si="1"/>
        <v>水</v>
      </c>
      <c r="AN4" s="153" t="str">
        <f t="shared" si="1"/>
        <v>木</v>
      </c>
      <c r="AO4" s="153" t="str">
        <f t="shared" si="1"/>
        <v>金</v>
      </c>
      <c r="AP4" s="153" t="str">
        <f t="shared" si="1"/>
        <v>土</v>
      </c>
      <c r="AQ4" s="153" t="str">
        <f t="shared" si="1"/>
        <v>日</v>
      </c>
      <c r="AR4" s="153" t="s">
        <v>318</v>
      </c>
      <c r="AS4" s="153" t="s">
        <v>319</v>
      </c>
      <c r="AT4" s="153" t="s">
        <v>320</v>
      </c>
      <c r="AU4" s="153" t="s">
        <v>321</v>
      </c>
      <c r="AV4" s="165"/>
      <c r="AW4" s="171"/>
      <c r="AX4" s="165"/>
      <c r="AY4" s="165"/>
      <c r="AZ4" s="165"/>
      <c r="BA4" s="165"/>
      <c r="BB4" s="164"/>
      <c r="BC4" s="167"/>
      <c r="BD4" s="164"/>
      <c r="BE4" s="62">
        <f>DATE(P1,T1,1)</f>
        <v>46143</v>
      </c>
      <c r="BF4" s="55"/>
    </row>
    <row r="5" spans="1:58" s="54" customFormat="1" ht="24" customHeight="1" x14ac:dyDescent="0.45">
      <c r="A5" s="72">
        <v>1</v>
      </c>
      <c r="B5" s="57" t="s">
        <v>452</v>
      </c>
      <c r="C5" s="57" t="s">
        <v>453</v>
      </c>
      <c r="D5" s="57" t="s">
        <v>454</v>
      </c>
      <c r="E5" s="57" t="s">
        <v>455</v>
      </c>
      <c r="F5" s="57"/>
      <c r="G5" s="57"/>
      <c r="H5" s="57"/>
      <c r="I5" s="57"/>
      <c r="J5" s="57">
        <f t="shared" ref="J5" si="2">IF(COUNTA(C5:I5)=0,"",COUNTA(C5:I5))</f>
        <v>3</v>
      </c>
      <c r="K5" s="57"/>
      <c r="L5" s="57"/>
      <c r="M5" s="56" t="str">
        <f>IF(M$4="水","昼",IF(M$4="木","○",IF(M$4="金","お","")))</f>
        <v>お</v>
      </c>
      <c r="N5" s="56" t="str">
        <f t="shared" ref="N5:AQ5" si="3">IF(N$4="水","昼",IF(N$4="木","○",IF(N$4="金","お","")))</f>
        <v/>
      </c>
      <c r="O5" s="56" t="str">
        <f t="shared" si="3"/>
        <v/>
      </c>
      <c r="P5" s="56" t="str">
        <f t="shared" si="3"/>
        <v/>
      </c>
      <c r="Q5" s="56" t="str">
        <f t="shared" si="3"/>
        <v/>
      </c>
      <c r="R5" s="58" t="str">
        <f t="shared" si="3"/>
        <v>昼</v>
      </c>
      <c r="S5" s="56" t="str">
        <f t="shared" si="3"/>
        <v>○</v>
      </c>
      <c r="T5" s="56" t="str">
        <f t="shared" si="3"/>
        <v>お</v>
      </c>
      <c r="U5" s="56" t="str">
        <f t="shared" si="3"/>
        <v/>
      </c>
      <c r="V5" s="56" t="str">
        <f t="shared" si="3"/>
        <v/>
      </c>
      <c r="W5" s="56" t="str">
        <f t="shared" si="3"/>
        <v/>
      </c>
      <c r="X5" s="56" t="str">
        <f t="shared" si="3"/>
        <v/>
      </c>
      <c r="Y5" s="58" t="str">
        <f t="shared" si="3"/>
        <v>昼</v>
      </c>
      <c r="Z5" s="56" t="str">
        <f t="shared" si="3"/>
        <v>○</v>
      </c>
      <c r="AA5" s="56" t="str">
        <f t="shared" si="3"/>
        <v>お</v>
      </c>
      <c r="AB5" s="56" t="str">
        <f t="shared" si="3"/>
        <v/>
      </c>
      <c r="AC5" s="56" t="str">
        <f t="shared" si="3"/>
        <v/>
      </c>
      <c r="AD5" s="56" t="str">
        <f t="shared" si="3"/>
        <v/>
      </c>
      <c r="AE5" s="56" t="str">
        <f t="shared" si="3"/>
        <v/>
      </c>
      <c r="AF5" s="58" t="str">
        <f t="shared" si="3"/>
        <v>昼</v>
      </c>
      <c r="AG5" s="56" t="str">
        <f t="shared" si="3"/>
        <v>○</v>
      </c>
      <c r="AH5" s="56" t="str">
        <f t="shared" si="3"/>
        <v>お</v>
      </c>
      <c r="AI5" s="56" t="str">
        <f t="shared" si="3"/>
        <v/>
      </c>
      <c r="AJ5" s="56" t="str">
        <f t="shared" si="3"/>
        <v/>
      </c>
      <c r="AK5" s="56" t="str">
        <f t="shared" si="3"/>
        <v/>
      </c>
      <c r="AL5" s="56" t="str">
        <f t="shared" si="3"/>
        <v/>
      </c>
      <c r="AM5" s="58"/>
      <c r="AN5" s="56"/>
      <c r="AO5" s="56"/>
      <c r="AP5" s="56" t="str">
        <f t="shared" si="3"/>
        <v/>
      </c>
      <c r="AQ5" s="56" t="str">
        <f t="shared" si="3"/>
        <v/>
      </c>
      <c r="AR5" s="56">
        <f t="shared" ref="AR5:AR28" si="4">IF(COUNTIF($M5:$AQ5,"昼")=0,"",COUNTIF($M5:$AQ5,"昼"))</f>
        <v>3</v>
      </c>
      <c r="AS5" s="56">
        <f t="shared" ref="AS5:AS28" si="5">IF(COUNTIF($M5:$AQ5,"○")=0,"",COUNTIF($M5:$AQ5,"○"))</f>
        <v>3</v>
      </c>
      <c r="AT5" s="56">
        <f t="shared" ref="AT5:AT28" si="6">IF(COUNTIF($M5:$AQ5,"お")=0,"",COUNTIF($M5:$AQ5,"お"))</f>
        <v>4</v>
      </c>
      <c r="AU5" s="56" t="str">
        <f t="shared" ref="AU5:AU28" si="7">IF(COUNTIF($M5:$AQ5,"夕")=0,"",COUNTIF($M5:$AQ5,"夕"))</f>
        <v/>
      </c>
      <c r="AV5" s="56">
        <f t="shared" ref="AV5" si="8">IF(COUNTA(M5:AQ5)=0,"",SUM(AR5:AU5))</f>
        <v>10</v>
      </c>
      <c r="AW5" s="56" t="s">
        <v>330</v>
      </c>
      <c r="AX5" s="56" t="s">
        <v>457</v>
      </c>
      <c r="AY5" s="59">
        <v>7058129602</v>
      </c>
      <c r="AZ5" s="56" t="s">
        <v>458</v>
      </c>
      <c r="BA5" s="59">
        <v>9037964935</v>
      </c>
      <c r="BB5" s="66" t="s">
        <v>326</v>
      </c>
      <c r="BC5" s="56">
        <v>4</v>
      </c>
      <c r="BD5" s="88">
        <v>45626</v>
      </c>
      <c r="BE5" s="61" t="s">
        <v>327</v>
      </c>
      <c r="BF5" s="55" t="s">
        <v>328</v>
      </c>
    </row>
    <row r="6" spans="1:58" s="54" customFormat="1" ht="24" customHeight="1" x14ac:dyDescent="0.45">
      <c r="A6" s="72">
        <v>2</v>
      </c>
      <c r="B6" s="57" t="s">
        <v>322</v>
      </c>
      <c r="C6" s="57"/>
      <c r="D6" s="57"/>
      <c r="E6" s="57"/>
      <c r="F6" s="57"/>
      <c r="G6" s="57"/>
      <c r="H6" s="57"/>
      <c r="I6" s="57"/>
      <c r="J6" s="57"/>
      <c r="K6" s="57"/>
      <c r="L6" s="57"/>
      <c r="M6" s="56"/>
      <c r="N6" s="58"/>
      <c r="O6" s="56"/>
      <c r="P6" s="58"/>
      <c r="Q6" s="56" t="str">
        <f t="shared" ref="Q6:AQ6" si="9">IF(Q$4="土","昼",IF(Q$4="日","○",IF(Q$4="月","夕","")))</f>
        <v/>
      </c>
      <c r="R6" s="56" t="str">
        <f t="shared" si="9"/>
        <v/>
      </c>
      <c r="S6" s="56" t="str">
        <f t="shared" si="9"/>
        <v/>
      </c>
      <c r="T6" s="56"/>
      <c r="U6" s="58"/>
      <c r="V6" s="56"/>
      <c r="W6" s="58"/>
      <c r="X6" s="56" t="str">
        <f t="shared" si="9"/>
        <v/>
      </c>
      <c r="Y6" s="56" t="str">
        <f t="shared" si="9"/>
        <v/>
      </c>
      <c r="Z6" s="56" t="str">
        <f t="shared" si="9"/>
        <v/>
      </c>
      <c r="AA6" s="56" t="str">
        <f t="shared" si="9"/>
        <v/>
      </c>
      <c r="AB6" s="58" t="str">
        <f t="shared" si="9"/>
        <v>昼</v>
      </c>
      <c r="AC6" s="56" t="str">
        <f t="shared" si="9"/>
        <v>○</v>
      </c>
      <c r="AD6" s="58" t="str">
        <f t="shared" si="9"/>
        <v>夕</v>
      </c>
      <c r="AE6" s="56" t="str">
        <f t="shared" si="9"/>
        <v/>
      </c>
      <c r="AF6" s="56" t="str">
        <f t="shared" si="9"/>
        <v/>
      </c>
      <c r="AG6" s="56" t="str">
        <f t="shared" si="9"/>
        <v/>
      </c>
      <c r="AH6" s="56" t="str">
        <f t="shared" si="9"/>
        <v/>
      </c>
      <c r="AI6" s="58" t="str">
        <f t="shared" si="9"/>
        <v>昼</v>
      </c>
      <c r="AJ6" s="56" t="str">
        <f t="shared" si="9"/>
        <v>○</v>
      </c>
      <c r="AK6" s="58" t="str">
        <f t="shared" si="9"/>
        <v>夕</v>
      </c>
      <c r="AL6" s="56" t="str">
        <f t="shared" si="9"/>
        <v/>
      </c>
      <c r="AM6" s="56" t="str">
        <f t="shared" si="9"/>
        <v/>
      </c>
      <c r="AN6" s="56" t="str">
        <f t="shared" si="9"/>
        <v/>
      </c>
      <c r="AO6" s="56" t="str">
        <f t="shared" si="9"/>
        <v/>
      </c>
      <c r="AP6" s="58" t="str">
        <f t="shared" si="9"/>
        <v>昼</v>
      </c>
      <c r="AQ6" s="56" t="str">
        <f t="shared" si="9"/>
        <v>○</v>
      </c>
      <c r="AR6" s="56">
        <f t="shared" si="4"/>
        <v>3</v>
      </c>
      <c r="AS6" s="56">
        <f t="shared" si="5"/>
        <v>3</v>
      </c>
      <c r="AT6" s="56" t="str">
        <f t="shared" si="6"/>
        <v/>
      </c>
      <c r="AU6" s="56">
        <f t="shared" si="7"/>
        <v>2</v>
      </c>
      <c r="AV6" s="56">
        <f t="shared" ref="AV6:AV28" si="10">IF(COUNTA(M6:AQ6)=0,"",SUM(AR6:AU6))</f>
        <v>8</v>
      </c>
      <c r="AW6" s="56" t="s">
        <v>323</v>
      </c>
      <c r="AX6" s="59" t="s">
        <v>324</v>
      </c>
      <c r="AY6" s="59">
        <v>8025513822</v>
      </c>
      <c r="AZ6" s="59" t="s">
        <v>325</v>
      </c>
      <c r="BA6" s="59">
        <v>8027251721</v>
      </c>
      <c r="BB6" s="66" t="s">
        <v>326</v>
      </c>
      <c r="BC6" s="56">
        <v>2</v>
      </c>
      <c r="BD6" s="88"/>
      <c r="BE6" s="62">
        <f>DATE(P1,T1+1,1)-1</f>
        <v>46173</v>
      </c>
      <c r="BF6" s="55" t="s">
        <v>333</v>
      </c>
    </row>
    <row r="7" spans="1:58" s="54" customFormat="1" ht="24" customHeight="1" x14ac:dyDescent="0.45">
      <c r="A7" s="72">
        <v>3</v>
      </c>
      <c r="B7" s="57" t="s">
        <v>329</v>
      </c>
      <c r="C7" s="57"/>
      <c r="D7" s="57"/>
      <c r="E7" s="57"/>
      <c r="F7" s="57"/>
      <c r="G7" s="57"/>
      <c r="H7" s="57"/>
      <c r="I7" s="57"/>
      <c r="J7" s="57"/>
      <c r="K7" s="57"/>
      <c r="L7" s="57"/>
      <c r="M7" s="56" t="str">
        <f>IF(M$4="土","昼",IF(M$4="日","夕",""))</f>
        <v/>
      </c>
      <c r="N7" s="58" t="str">
        <f t="shared" ref="N7:AQ7" si="11">IF(N$4="土","昼",IF(N$4="日","夕",""))</f>
        <v>昼</v>
      </c>
      <c r="O7" s="58" t="str">
        <f t="shared" si="11"/>
        <v>夕</v>
      </c>
      <c r="P7" s="56" t="str">
        <f t="shared" si="11"/>
        <v/>
      </c>
      <c r="Q7" s="56" t="str">
        <f t="shared" si="11"/>
        <v/>
      </c>
      <c r="R7" s="56" t="str">
        <f t="shared" si="11"/>
        <v/>
      </c>
      <c r="S7" s="56" t="str">
        <f t="shared" si="11"/>
        <v/>
      </c>
      <c r="T7" s="56" t="str">
        <f t="shared" si="11"/>
        <v/>
      </c>
      <c r="U7" s="58" t="str">
        <f t="shared" si="11"/>
        <v>昼</v>
      </c>
      <c r="V7" s="58" t="str">
        <f t="shared" si="11"/>
        <v>夕</v>
      </c>
      <c r="W7" s="56" t="str">
        <f t="shared" si="11"/>
        <v/>
      </c>
      <c r="X7" s="56" t="str">
        <f t="shared" si="11"/>
        <v/>
      </c>
      <c r="Y7" s="56" t="str">
        <f t="shared" si="11"/>
        <v/>
      </c>
      <c r="Z7" s="56" t="str">
        <f t="shared" si="11"/>
        <v/>
      </c>
      <c r="AA7" s="56" t="str">
        <f t="shared" si="11"/>
        <v/>
      </c>
      <c r="AB7" s="58" t="str">
        <f t="shared" si="11"/>
        <v>昼</v>
      </c>
      <c r="AC7" s="58" t="str">
        <f t="shared" si="11"/>
        <v>夕</v>
      </c>
      <c r="AD7" s="56" t="str">
        <f t="shared" si="11"/>
        <v/>
      </c>
      <c r="AE7" s="56" t="str">
        <f t="shared" si="11"/>
        <v/>
      </c>
      <c r="AF7" s="56" t="str">
        <f t="shared" si="11"/>
        <v/>
      </c>
      <c r="AG7" s="56" t="str">
        <f t="shared" si="11"/>
        <v/>
      </c>
      <c r="AH7" s="56" t="str">
        <f t="shared" si="11"/>
        <v/>
      </c>
      <c r="AI7" s="58" t="str">
        <f t="shared" si="11"/>
        <v>昼</v>
      </c>
      <c r="AJ7" s="58" t="str">
        <f t="shared" si="11"/>
        <v>夕</v>
      </c>
      <c r="AK7" s="56" t="str">
        <f t="shared" si="11"/>
        <v/>
      </c>
      <c r="AL7" s="56" t="str">
        <f t="shared" si="11"/>
        <v/>
      </c>
      <c r="AM7" s="56" t="str">
        <f t="shared" si="11"/>
        <v/>
      </c>
      <c r="AN7" s="56" t="str">
        <f t="shared" si="11"/>
        <v/>
      </c>
      <c r="AO7" s="56" t="str">
        <f t="shared" si="11"/>
        <v/>
      </c>
      <c r="AP7" s="58" t="str">
        <f t="shared" si="11"/>
        <v>昼</v>
      </c>
      <c r="AQ7" s="58" t="str">
        <f t="shared" si="11"/>
        <v>夕</v>
      </c>
      <c r="AR7" s="56">
        <f t="shared" si="4"/>
        <v>5</v>
      </c>
      <c r="AS7" s="56" t="str">
        <f t="shared" si="5"/>
        <v/>
      </c>
      <c r="AT7" s="56" t="str">
        <f t="shared" si="6"/>
        <v/>
      </c>
      <c r="AU7" s="56">
        <f t="shared" si="7"/>
        <v>5</v>
      </c>
      <c r="AV7" s="56">
        <f t="shared" si="10"/>
        <v>10</v>
      </c>
      <c r="AW7" s="56" t="s">
        <v>330</v>
      </c>
      <c r="AX7" s="59" t="s">
        <v>331</v>
      </c>
      <c r="AY7" s="59">
        <v>9086202017</v>
      </c>
      <c r="AZ7" s="59" t="s">
        <v>332</v>
      </c>
      <c r="BA7" s="59">
        <v>9068675997</v>
      </c>
      <c r="BB7" s="66" t="s">
        <v>326</v>
      </c>
      <c r="BC7" s="56">
        <v>4</v>
      </c>
      <c r="BD7" s="88"/>
      <c r="BE7" s="61"/>
      <c r="BF7" s="55" t="s">
        <v>338</v>
      </c>
    </row>
    <row r="8" spans="1:58" s="54" customFormat="1" ht="24" customHeight="1" x14ac:dyDescent="0.45">
      <c r="A8" s="72">
        <v>4</v>
      </c>
      <c r="B8" s="57" t="s">
        <v>334</v>
      </c>
      <c r="C8" s="57"/>
      <c r="D8" s="57"/>
      <c r="E8" s="57"/>
      <c r="F8" s="57"/>
      <c r="G8" s="57"/>
      <c r="H8" s="57"/>
      <c r="I8" s="57"/>
      <c r="J8" s="57"/>
      <c r="K8" s="57"/>
      <c r="L8" s="57"/>
      <c r="M8" s="56" t="str">
        <f>IF(M$4="日","昼",IF(M$4="月","○",IF(M$4="火","お","")))</f>
        <v/>
      </c>
      <c r="N8" s="56" t="str">
        <f t="shared" ref="N8:AQ8" si="12">IF(N$4="日","昼",IF(N$4="月","○",IF(N$4="火","お","")))</f>
        <v/>
      </c>
      <c r="O8" s="58" t="str">
        <f t="shared" si="12"/>
        <v>昼</v>
      </c>
      <c r="P8" s="56" t="str">
        <f t="shared" si="12"/>
        <v>○</v>
      </c>
      <c r="Q8" s="56" t="str">
        <f t="shared" si="12"/>
        <v>お</v>
      </c>
      <c r="R8" s="56" t="str">
        <f t="shared" si="12"/>
        <v/>
      </c>
      <c r="S8" s="56" t="str">
        <f t="shared" si="12"/>
        <v/>
      </c>
      <c r="T8" s="56" t="str">
        <f t="shared" si="12"/>
        <v/>
      </c>
      <c r="U8" s="56" t="str">
        <f t="shared" si="12"/>
        <v/>
      </c>
      <c r="V8" s="58" t="str">
        <f t="shared" si="12"/>
        <v>昼</v>
      </c>
      <c r="W8" s="56" t="str">
        <f t="shared" si="12"/>
        <v>○</v>
      </c>
      <c r="X8" s="56" t="str">
        <f t="shared" si="12"/>
        <v>お</v>
      </c>
      <c r="Y8" s="56" t="str">
        <f t="shared" si="12"/>
        <v/>
      </c>
      <c r="Z8" s="56" t="str">
        <f t="shared" si="12"/>
        <v/>
      </c>
      <c r="AA8" s="56" t="str">
        <f t="shared" si="12"/>
        <v/>
      </c>
      <c r="AB8" s="56" t="str">
        <f t="shared" si="12"/>
        <v/>
      </c>
      <c r="AC8" s="58" t="str">
        <f t="shared" si="12"/>
        <v>昼</v>
      </c>
      <c r="AD8" s="56" t="str">
        <f t="shared" si="12"/>
        <v>○</v>
      </c>
      <c r="AE8" s="56" t="str">
        <f t="shared" si="12"/>
        <v>お</v>
      </c>
      <c r="AF8" s="56" t="str">
        <f t="shared" si="12"/>
        <v/>
      </c>
      <c r="AG8" s="56" t="str">
        <f t="shared" si="12"/>
        <v/>
      </c>
      <c r="AH8" s="56" t="str">
        <f t="shared" si="12"/>
        <v/>
      </c>
      <c r="AI8" s="58" t="s">
        <v>352</v>
      </c>
      <c r="AJ8" s="56" t="s">
        <v>319</v>
      </c>
      <c r="AK8" s="56" t="str">
        <f t="shared" si="12"/>
        <v>○</v>
      </c>
      <c r="AL8" s="56" t="str">
        <f t="shared" si="12"/>
        <v>お</v>
      </c>
      <c r="AM8" s="56" t="str">
        <f t="shared" si="12"/>
        <v/>
      </c>
      <c r="AN8" s="56" t="str">
        <f t="shared" si="12"/>
        <v/>
      </c>
      <c r="AO8" s="56" t="str">
        <f t="shared" si="12"/>
        <v/>
      </c>
      <c r="AP8" s="56" t="str">
        <f t="shared" si="12"/>
        <v/>
      </c>
      <c r="AQ8" s="58" t="str">
        <f t="shared" si="12"/>
        <v>昼</v>
      </c>
      <c r="AR8" s="56">
        <f t="shared" si="4"/>
        <v>5</v>
      </c>
      <c r="AS8" s="56">
        <f t="shared" si="5"/>
        <v>5</v>
      </c>
      <c r="AT8" s="56">
        <f t="shared" si="6"/>
        <v>4</v>
      </c>
      <c r="AU8" s="56" t="str">
        <f t="shared" si="7"/>
        <v/>
      </c>
      <c r="AV8" s="56">
        <f t="shared" si="10"/>
        <v>14</v>
      </c>
      <c r="AW8" s="56" t="s">
        <v>330</v>
      </c>
      <c r="AX8" s="56" t="s">
        <v>335</v>
      </c>
      <c r="AY8" s="59">
        <v>8039457095</v>
      </c>
      <c r="AZ8" s="56" t="s">
        <v>336</v>
      </c>
      <c r="BA8" s="59">
        <v>8039162381</v>
      </c>
      <c r="BB8" s="66" t="s">
        <v>337</v>
      </c>
      <c r="BC8" s="56">
        <v>3</v>
      </c>
      <c r="BD8" s="88"/>
      <c r="BE8" s="53"/>
      <c r="BF8" s="55"/>
    </row>
    <row r="9" spans="1:58" s="54" customFormat="1" ht="24" customHeight="1" x14ac:dyDescent="0.45">
      <c r="A9" s="72">
        <v>5</v>
      </c>
      <c r="B9" s="75" t="s">
        <v>339</v>
      </c>
      <c r="C9" s="57"/>
      <c r="D9" s="57"/>
      <c r="E9" s="57"/>
      <c r="F9" s="57"/>
      <c r="G9" s="57"/>
      <c r="H9" s="57"/>
      <c r="I9" s="57"/>
      <c r="J9" s="57"/>
      <c r="K9" s="57"/>
      <c r="L9" s="57"/>
      <c r="M9" s="56"/>
      <c r="N9" s="56"/>
      <c r="O9" s="56"/>
      <c r="P9" s="56" t="s">
        <v>352</v>
      </c>
      <c r="Q9" s="56" t="s">
        <v>319</v>
      </c>
      <c r="R9" s="56" t="s">
        <v>320</v>
      </c>
      <c r="S9" s="56"/>
      <c r="T9" s="56"/>
      <c r="U9" s="56"/>
      <c r="V9" s="56"/>
      <c r="W9" s="56"/>
      <c r="X9" s="56"/>
      <c r="Y9" s="56"/>
      <c r="Z9" s="56"/>
      <c r="AA9" s="56"/>
      <c r="AB9" s="56"/>
      <c r="AC9" s="56"/>
      <c r="AD9" s="56"/>
      <c r="AE9" s="56"/>
      <c r="AF9" s="56"/>
      <c r="AG9" s="56"/>
      <c r="AH9" s="56"/>
      <c r="AI9" s="56"/>
      <c r="AJ9" s="56"/>
      <c r="AK9" s="64"/>
      <c r="AL9" s="56"/>
      <c r="AM9" s="56"/>
      <c r="AN9" s="56"/>
      <c r="AO9" s="56"/>
      <c r="AP9" s="56"/>
      <c r="AQ9" s="56"/>
      <c r="AR9" s="56">
        <f t="shared" si="4"/>
        <v>1</v>
      </c>
      <c r="AS9" s="56">
        <f t="shared" si="5"/>
        <v>1</v>
      </c>
      <c r="AT9" s="56">
        <f t="shared" si="6"/>
        <v>1</v>
      </c>
      <c r="AU9" s="56" t="str">
        <f t="shared" si="7"/>
        <v/>
      </c>
      <c r="AV9" s="56">
        <f t="shared" si="10"/>
        <v>3</v>
      </c>
      <c r="AW9" s="56" t="s">
        <v>323</v>
      </c>
      <c r="AX9" s="56" t="s">
        <v>340</v>
      </c>
      <c r="AY9" s="59">
        <v>9037963062</v>
      </c>
      <c r="AZ9" s="56" t="s">
        <v>341</v>
      </c>
      <c r="BA9" s="59">
        <v>9075873470</v>
      </c>
      <c r="BB9" s="56" t="s">
        <v>326</v>
      </c>
      <c r="BC9" s="56">
        <v>3</v>
      </c>
      <c r="BD9" s="88"/>
      <c r="BE9" s="53"/>
      <c r="BF9" s="55"/>
    </row>
    <row r="10" spans="1:58" s="54" customFormat="1" ht="24" customHeight="1" x14ac:dyDescent="0.45">
      <c r="A10" s="72">
        <v>6</v>
      </c>
      <c r="B10" s="57" t="s">
        <v>342</v>
      </c>
      <c r="C10" s="57"/>
      <c r="D10" s="57"/>
      <c r="E10" s="57"/>
      <c r="F10" s="57"/>
      <c r="G10" s="57"/>
      <c r="H10" s="57"/>
      <c r="I10" s="57"/>
      <c r="J10" s="57" t="str">
        <f>IF(COUNTA(C10:I10)=0,"",COUNTA(C10:I10))</f>
        <v/>
      </c>
      <c r="K10" s="57"/>
      <c r="L10" s="57"/>
      <c r="M10" s="56" t="str">
        <f>IF(M$4="火","昼",IF(M$4="水","○",IF(M$4="木","夕","")))</f>
        <v/>
      </c>
      <c r="N10" s="56" t="str">
        <f t="shared" ref="N10:AQ10" si="13">IF(N$4="火","昼",IF(N$4="水","○",IF(N$4="木","夕","")))</f>
        <v/>
      </c>
      <c r="O10" s="56" t="str">
        <f t="shared" si="13"/>
        <v/>
      </c>
      <c r="P10" s="56" t="str">
        <f t="shared" si="13"/>
        <v/>
      </c>
      <c r="Q10" s="57" t="str">
        <f t="shared" si="13"/>
        <v>昼</v>
      </c>
      <c r="R10" s="56" t="str">
        <f t="shared" si="13"/>
        <v>○</v>
      </c>
      <c r="S10" s="58" t="str">
        <f t="shared" si="13"/>
        <v>夕</v>
      </c>
      <c r="T10" s="56" t="str">
        <f t="shared" si="13"/>
        <v/>
      </c>
      <c r="U10" s="56" t="str">
        <f t="shared" si="13"/>
        <v/>
      </c>
      <c r="V10" s="56" t="str">
        <f t="shared" si="13"/>
        <v/>
      </c>
      <c r="W10" s="56" t="str">
        <f t="shared" si="13"/>
        <v/>
      </c>
      <c r="X10" s="58" t="str">
        <f t="shared" si="13"/>
        <v>昼</v>
      </c>
      <c r="Y10" s="56" t="str">
        <f t="shared" si="13"/>
        <v>○</v>
      </c>
      <c r="Z10" s="58" t="str">
        <f t="shared" si="13"/>
        <v>夕</v>
      </c>
      <c r="AA10" s="56" t="str">
        <f t="shared" si="13"/>
        <v/>
      </c>
      <c r="AB10" s="56" t="str">
        <f t="shared" si="13"/>
        <v/>
      </c>
      <c r="AC10" s="56" t="str">
        <f t="shared" si="13"/>
        <v/>
      </c>
      <c r="AD10" s="56" t="str">
        <f t="shared" si="13"/>
        <v/>
      </c>
      <c r="AE10" s="58" t="str">
        <f t="shared" si="13"/>
        <v>昼</v>
      </c>
      <c r="AF10" s="56" t="str">
        <f t="shared" si="13"/>
        <v>○</v>
      </c>
      <c r="AG10" s="58" t="str">
        <f t="shared" si="13"/>
        <v>夕</v>
      </c>
      <c r="AH10" s="56" t="str">
        <f t="shared" si="13"/>
        <v/>
      </c>
      <c r="AI10" s="56" t="str">
        <f t="shared" si="13"/>
        <v/>
      </c>
      <c r="AJ10" s="56" t="str">
        <f t="shared" si="13"/>
        <v/>
      </c>
      <c r="AK10" s="56" t="str">
        <f t="shared" si="13"/>
        <v/>
      </c>
      <c r="AL10" s="64"/>
      <c r="AM10" s="58" t="str">
        <f>IF(AL$4="火","昼",IF(AL$4="水","○",IF(AL$4="木","夕","")))</f>
        <v>昼</v>
      </c>
      <c r="AN10" s="56" t="str">
        <f>IF(AM$4="火","昼",IF(AM$4="水","○",IF(AM$4="木","夕","")))</f>
        <v>○</v>
      </c>
      <c r="AO10" s="58" t="str">
        <f>IF(AN$4="火","昼",IF(AN$4="水","○",IF(AN$4="木","夕","")))</f>
        <v>夕</v>
      </c>
      <c r="AP10" s="56" t="str">
        <f t="shared" si="13"/>
        <v/>
      </c>
      <c r="AQ10" s="56" t="str">
        <f t="shared" si="13"/>
        <v/>
      </c>
      <c r="AR10" s="56">
        <f t="shared" si="4"/>
        <v>4</v>
      </c>
      <c r="AS10" s="56">
        <f t="shared" si="5"/>
        <v>4</v>
      </c>
      <c r="AT10" s="56" t="str">
        <f t="shared" si="6"/>
        <v/>
      </c>
      <c r="AU10" s="56">
        <f t="shared" si="7"/>
        <v>4</v>
      </c>
      <c r="AV10" s="56">
        <f t="shared" si="10"/>
        <v>12</v>
      </c>
      <c r="AW10" s="56" t="s">
        <v>323</v>
      </c>
      <c r="AX10" s="56" t="s">
        <v>343</v>
      </c>
      <c r="AY10" s="59">
        <v>9019466851</v>
      </c>
      <c r="AZ10" s="56" t="s">
        <v>336</v>
      </c>
      <c r="BA10" s="59">
        <v>8039162381</v>
      </c>
      <c r="BB10" s="66" t="s">
        <v>326</v>
      </c>
      <c r="BC10" s="56">
        <v>2</v>
      </c>
      <c r="BD10" s="88">
        <v>46630</v>
      </c>
      <c r="BE10" s="53"/>
      <c r="BF10" s="55"/>
    </row>
    <row r="11" spans="1:58" s="54" customFormat="1" ht="24" customHeight="1" x14ac:dyDescent="0.45">
      <c r="A11" s="72">
        <v>7</v>
      </c>
      <c r="B11" s="57" t="s">
        <v>468</v>
      </c>
      <c r="C11" s="57"/>
      <c r="D11" s="57"/>
      <c r="E11" s="57"/>
      <c r="F11" s="57"/>
      <c r="G11" s="57"/>
      <c r="H11" s="57"/>
      <c r="I11" s="57"/>
      <c r="J11" s="57"/>
      <c r="K11" s="57"/>
      <c r="L11" s="57"/>
      <c r="M11" s="56"/>
      <c r="N11" s="56"/>
      <c r="O11" s="56"/>
      <c r="P11" s="56"/>
      <c r="Q11" s="58" t="s">
        <v>318</v>
      </c>
      <c r="R11" s="56" t="s">
        <v>319</v>
      </c>
      <c r="S11" s="76" t="s">
        <v>319</v>
      </c>
      <c r="T11" s="56" t="s">
        <v>319</v>
      </c>
      <c r="U11" s="58" t="s">
        <v>497</v>
      </c>
      <c r="V11" s="56"/>
      <c r="W11" s="56"/>
      <c r="X11" s="56"/>
      <c r="Y11" s="56"/>
      <c r="Z11" s="56"/>
      <c r="AA11" s="56"/>
      <c r="AB11" s="56"/>
      <c r="AC11" s="56"/>
      <c r="AD11" s="72"/>
      <c r="AE11" s="144"/>
      <c r="AF11" s="72"/>
      <c r="AG11" s="72"/>
      <c r="AH11" s="72"/>
      <c r="AI11" s="144"/>
      <c r="AJ11" s="72"/>
      <c r="AK11" s="72"/>
      <c r="AL11" s="72"/>
      <c r="AM11" s="56"/>
      <c r="AN11" s="56"/>
      <c r="AO11" s="56"/>
      <c r="AP11" s="56"/>
      <c r="AQ11" s="56"/>
      <c r="AR11" s="56">
        <f t="shared" si="4"/>
        <v>1</v>
      </c>
      <c r="AS11" s="56">
        <f t="shared" si="5"/>
        <v>3</v>
      </c>
      <c r="AT11" s="56" t="str">
        <f t="shared" si="6"/>
        <v/>
      </c>
      <c r="AU11" s="56">
        <f t="shared" si="7"/>
        <v>1</v>
      </c>
      <c r="AV11" s="56">
        <f t="shared" si="10"/>
        <v>5</v>
      </c>
      <c r="AW11" s="56" t="s">
        <v>323</v>
      </c>
      <c r="AX11" s="56" t="s">
        <v>469</v>
      </c>
      <c r="AY11" s="59">
        <v>9037971410</v>
      </c>
      <c r="AZ11" s="56" t="s">
        <v>346</v>
      </c>
      <c r="BA11" s="59">
        <v>8033750537</v>
      </c>
      <c r="BB11" s="59" t="s">
        <v>347</v>
      </c>
      <c r="BC11" s="56">
        <v>2</v>
      </c>
      <c r="BD11" s="88">
        <v>46203</v>
      </c>
      <c r="BE11" s="53"/>
      <c r="BF11" s="55"/>
    </row>
    <row r="12" spans="1:58" s="54" customFormat="1" ht="24" customHeight="1" x14ac:dyDescent="0.45">
      <c r="A12" s="72">
        <v>8</v>
      </c>
      <c r="B12" s="57" t="s">
        <v>344</v>
      </c>
      <c r="C12" s="57"/>
      <c r="D12" s="57"/>
      <c r="E12" s="57"/>
      <c r="F12" s="57"/>
      <c r="G12" s="57"/>
      <c r="H12" s="57"/>
      <c r="I12" s="57"/>
      <c r="J12" s="57"/>
      <c r="K12" s="57"/>
      <c r="L12" s="57"/>
      <c r="M12" s="56"/>
      <c r="N12" s="56"/>
      <c r="O12" s="56" t="str">
        <f t="shared" ref="O12:AQ12" si="14">IF(O$4="木","昼",IF(O$4="金","○",IF(O$4="土","夕","")))</f>
        <v/>
      </c>
      <c r="P12" s="56" t="str">
        <f t="shared" si="14"/>
        <v/>
      </c>
      <c r="Q12" s="56" t="str">
        <f t="shared" si="14"/>
        <v/>
      </c>
      <c r="R12" s="56" t="str">
        <f t="shared" si="14"/>
        <v/>
      </c>
      <c r="S12" s="56"/>
      <c r="T12" s="56"/>
      <c r="U12" s="56"/>
      <c r="V12" s="56" t="str">
        <f t="shared" si="14"/>
        <v/>
      </c>
      <c r="W12" s="56" t="str">
        <f t="shared" si="14"/>
        <v/>
      </c>
      <c r="X12" s="56" t="str">
        <f t="shared" si="14"/>
        <v/>
      </c>
      <c r="Y12" s="56" t="str">
        <f t="shared" si="14"/>
        <v/>
      </c>
      <c r="Z12" s="56" t="str">
        <f t="shared" si="14"/>
        <v>昼</v>
      </c>
      <c r="AA12" s="56" t="str">
        <f t="shared" si="14"/>
        <v>○</v>
      </c>
      <c r="AB12" s="58" t="str">
        <f t="shared" si="14"/>
        <v>夕</v>
      </c>
      <c r="AC12" s="56" t="str">
        <f t="shared" si="14"/>
        <v/>
      </c>
      <c r="AD12" s="56" t="str">
        <f t="shared" si="14"/>
        <v/>
      </c>
      <c r="AE12" s="56" t="str">
        <f t="shared" si="14"/>
        <v/>
      </c>
      <c r="AF12" s="56" t="str">
        <f t="shared" si="14"/>
        <v/>
      </c>
      <c r="AG12" s="56"/>
      <c r="AH12" s="56"/>
      <c r="AI12" s="56"/>
      <c r="AJ12" s="56" t="str">
        <f t="shared" si="14"/>
        <v/>
      </c>
      <c r="AK12" s="56" t="str">
        <f t="shared" si="14"/>
        <v/>
      </c>
      <c r="AL12" s="56" t="str">
        <f t="shared" si="14"/>
        <v/>
      </c>
      <c r="AM12" s="56" t="str">
        <f t="shared" si="14"/>
        <v/>
      </c>
      <c r="AN12" s="56" t="str">
        <f t="shared" si="14"/>
        <v>昼</v>
      </c>
      <c r="AO12" s="56" t="str">
        <f t="shared" si="14"/>
        <v>○</v>
      </c>
      <c r="AP12" s="58" t="str">
        <f t="shared" si="14"/>
        <v>夕</v>
      </c>
      <c r="AQ12" s="56" t="str">
        <f t="shared" si="14"/>
        <v/>
      </c>
      <c r="AR12" s="56">
        <f t="shared" si="4"/>
        <v>2</v>
      </c>
      <c r="AS12" s="56">
        <f t="shared" si="5"/>
        <v>2</v>
      </c>
      <c r="AT12" s="56" t="str">
        <f t="shared" si="6"/>
        <v/>
      </c>
      <c r="AU12" s="56">
        <f t="shared" si="7"/>
        <v>2</v>
      </c>
      <c r="AV12" s="56">
        <f t="shared" si="10"/>
        <v>6</v>
      </c>
      <c r="AW12" s="56" t="s">
        <v>323</v>
      </c>
      <c r="AX12" s="56" t="s">
        <v>345</v>
      </c>
      <c r="AY12" s="59">
        <v>9068975316</v>
      </c>
      <c r="AZ12" s="56" t="s">
        <v>346</v>
      </c>
      <c r="BA12" s="59">
        <v>8033750538</v>
      </c>
      <c r="BB12" s="66" t="s">
        <v>347</v>
      </c>
      <c r="BC12" s="56">
        <v>2</v>
      </c>
      <c r="BD12" s="66"/>
      <c r="BE12" s="53"/>
      <c r="BF12" s="55"/>
    </row>
    <row r="13" spans="1:58" s="54" customFormat="1" ht="24" customHeight="1" x14ac:dyDescent="0.45">
      <c r="A13" s="72">
        <v>9</v>
      </c>
      <c r="B13" s="57" t="s">
        <v>348</v>
      </c>
      <c r="C13" s="57"/>
      <c r="D13" s="57"/>
      <c r="E13" s="57"/>
      <c r="F13" s="57"/>
      <c r="G13" s="57"/>
      <c r="H13" s="57"/>
      <c r="I13" s="57"/>
      <c r="J13" s="57"/>
      <c r="K13" s="57"/>
      <c r="L13" s="57"/>
      <c r="M13" s="56" t="s">
        <v>319</v>
      </c>
      <c r="N13" s="76" t="s">
        <v>319</v>
      </c>
      <c r="O13" s="56" t="s">
        <v>319</v>
      </c>
      <c r="P13" s="56" t="s">
        <v>319</v>
      </c>
      <c r="Q13" s="56" t="s">
        <v>319</v>
      </c>
      <c r="R13" s="56" t="s">
        <v>320</v>
      </c>
      <c r="S13" s="56"/>
      <c r="T13" s="56" t="s">
        <v>318</v>
      </c>
      <c r="U13" s="76" t="s">
        <v>319</v>
      </c>
      <c r="V13" s="56" t="s">
        <v>319</v>
      </c>
      <c r="W13" s="56" t="s">
        <v>319</v>
      </c>
      <c r="X13" s="72" t="s">
        <v>319</v>
      </c>
      <c r="Y13" s="76" t="s">
        <v>319</v>
      </c>
      <c r="Z13" s="56" t="s">
        <v>319</v>
      </c>
      <c r="AA13" s="56" t="s">
        <v>319</v>
      </c>
      <c r="AB13" s="76" t="s">
        <v>319</v>
      </c>
      <c r="AC13" s="56" t="s">
        <v>319</v>
      </c>
      <c r="AD13" s="56" t="s">
        <v>319</v>
      </c>
      <c r="AE13" s="56" t="s">
        <v>319</v>
      </c>
      <c r="AF13" s="76" t="s">
        <v>319</v>
      </c>
      <c r="AG13" s="56" t="s">
        <v>321</v>
      </c>
      <c r="AH13" s="56"/>
      <c r="AI13" s="72"/>
      <c r="AJ13" s="56"/>
      <c r="AK13" s="56" t="s">
        <v>318</v>
      </c>
      <c r="AL13" s="56" t="s">
        <v>319</v>
      </c>
      <c r="AM13" s="76" t="s">
        <v>319</v>
      </c>
      <c r="AN13" s="56" t="s">
        <v>319</v>
      </c>
      <c r="AO13" s="56" t="s">
        <v>319</v>
      </c>
      <c r="AP13" s="76" t="s">
        <v>319</v>
      </c>
      <c r="AQ13" s="56" t="s">
        <v>319</v>
      </c>
      <c r="AR13" s="56">
        <f t="shared" si="4"/>
        <v>2</v>
      </c>
      <c r="AS13" s="56">
        <f t="shared" si="5"/>
        <v>23</v>
      </c>
      <c r="AT13" s="56">
        <f t="shared" si="6"/>
        <v>1</v>
      </c>
      <c r="AU13" s="56">
        <f t="shared" si="7"/>
        <v>1</v>
      </c>
      <c r="AV13" s="56">
        <f t="shared" si="10"/>
        <v>27</v>
      </c>
      <c r="AW13" s="56" t="s">
        <v>323</v>
      </c>
      <c r="AX13" s="56" t="s">
        <v>349</v>
      </c>
      <c r="AY13" s="59">
        <v>9013413414</v>
      </c>
      <c r="AZ13" s="56" t="s">
        <v>350</v>
      </c>
      <c r="BA13" s="59">
        <v>9068641724</v>
      </c>
      <c r="BB13" s="66" t="s">
        <v>337</v>
      </c>
      <c r="BC13" s="56">
        <v>3</v>
      </c>
      <c r="BD13" s="88"/>
      <c r="BE13" s="53"/>
      <c r="BF13" s="55"/>
    </row>
    <row r="14" spans="1:58" s="54" customFormat="1" ht="24" customHeight="1" x14ac:dyDescent="0.45">
      <c r="A14" s="72">
        <v>10</v>
      </c>
      <c r="B14" s="57" t="s">
        <v>351</v>
      </c>
      <c r="C14" s="57"/>
      <c r="D14" s="57"/>
      <c r="E14" s="57"/>
      <c r="F14" s="57"/>
      <c r="G14" s="57"/>
      <c r="H14" s="57"/>
      <c r="I14" s="57"/>
      <c r="J14" s="57"/>
      <c r="K14" s="57"/>
      <c r="L14" s="57"/>
      <c r="M14" s="56" t="str">
        <f>IF(M$4="土","昼",IF(M$4="日","お",""))</f>
        <v/>
      </c>
      <c r="N14" s="58" t="str">
        <f t="shared" ref="N14:AQ14" si="15">IF(N$4="土","昼",IF(N$4="日","お",""))</f>
        <v>昼</v>
      </c>
      <c r="O14" s="58" t="str">
        <f t="shared" si="15"/>
        <v>お</v>
      </c>
      <c r="P14" s="56" t="str">
        <f t="shared" si="15"/>
        <v/>
      </c>
      <c r="Q14" s="56" t="str">
        <f t="shared" si="15"/>
        <v/>
      </c>
      <c r="R14" s="56" t="str">
        <f t="shared" si="15"/>
        <v/>
      </c>
      <c r="S14" s="56" t="str">
        <f t="shared" si="15"/>
        <v/>
      </c>
      <c r="T14" s="56" t="str">
        <f t="shared" si="15"/>
        <v/>
      </c>
      <c r="U14" s="58" t="str">
        <f t="shared" si="15"/>
        <v>昼</v>
      </c>
      <c r="V14" s="58" t="str">
        <f t="shared" si="15"/>
        <v>お</v>
      </c>
      <c r="W14" s="56" t="str">
        <f t="shared" si="15"/>
        <v/>
      </c>
      <c r="X14" s="56" t="str">
        <f t="shared" si="15"/>
        <v/>
      </c>
      <c r="Y14" s="56" t="str">
        <f t="shared" si="15"/>
        <v/>
      </c>
      <c r="Z14" s="56" t="str">
        <f t="shared" si="15"/>
        <v/>
      </c>
      <c r="AA14" s="56" t="str">
        <f t="shared" si="15"/>
        <v/>
      </c>
      <c r="AB14" s="58" t="str">
        <f t="shared" si="15"/>
        <v>昼</v>
      </c>
      <c r="AC14" s="106" t="str">
        <f t="shared" si="15"/>
        <v>お</v>
      </c>
      <c r="AD14" s="56" t="str">
        <f t="shared" si="15"/>
        <v/>
      </c>
      <c r="AE14" s="56" t="str">
        <f t="shared" si="15"/>
        <v/>
      </c>
      <c r="AF14" s="56" t="str">
        <f t="shared" si="15"/>
        <v/>
      </c>
      <c r="AG14" s="56" t="str">
        <f t="shared" si="15"/>
        <v/>
      </c>
      <c r="AH14" s="56" t="str">
        <f t="shared" si="15"/>
        <v/>
      </c>
      <c r="AI14" s="58" t="str">
        <f t="shared" si="15"/>
        <v>昼</v>
      </c>
      <c r="AJ14" s="58" t="str">
        <f t="shared" si="15"/>
        <v>お</v>
      </c>
      <c r="AK14" s="56" t="str">
        <f t="shared" si="15"/>
        <v/>
      </c>
      <c r="AL14" s="56" t="str">
        <f t="shared" si="15"/>
        <v/>
      </c>
      <c r="AM14" s="56" t="str">
        <f t="shared" si="15"/>
        <v/>
      </c>
      <c r="AN14" s="56" t="s">
        <v>352</v>
      </c>
      <c r="AO14" s="56" t="s">
        <v>319</v>
      </c>
      <c r="AP14" s="57" t="s">
        <v>319</v>
      </c>
      <c r="AQ14" s="58" t="str">
        <f t="shared" si="15"/>
        <v>お</v>
      </c>
      <c r="AR14" s="56">
        <f t="shared" si="4"/>
        <v>5</v>
      </c>
      <c r="AS14" s="56">
        <f t="shared" si="5"/>
        <v>2</v>
      </c>
      <c r="AT14" s="56">
        <f t="shared" si="6"/>
        <v>5</v>
      </c>
      <c r="AU14" s="56" t="str">
        <f t="shared" si="7"/>
        <v/>
      </c>
      <c r="AV14" s="56">
        <f t="shared" si="10"/>
        <v>12</v>
      </c>
      <c r="AW14" s="56" t="s">
        <v>323</v>
      </c>
      <c r="AX14" s="56" t="s">
        <v>353</v>
      </c>
      <c r="AY14" s="59">
        <v>9097873561</v>
      </c>
      <c r="AZ14" s="56" t="s">
        <v>346</v>
      </c>
      <c r="BA14" s="59">
        <v>8033750537</v>
      </c>
      <c r="BB14" s="66" t="s">
        <v>347</v>
      </c>
      <c r="BC14" s="56">
        <v>1</v>
      </c>
      <c r="BD14" s="88"/>
      <c r="BE14" s="53"/>
      <c r="BF14" s="55"/>
    </row>
    <row r="15" spans="1:58" s="54" customFormat="1" ht="24" customHeight="1" x14ac:dyDescent="0.45">
      <c r="A15" s="72">
        <v>11</v>
      </c>
      <c r="B15" s="57" t="s">
        <v>354</v>
      </c>
      <c r="C15" s="57"/>
      <c r="D15" s="57"/>
      <c r="E15" s="57"/>
      <c r="F15" s="57"/>
      <c r="G15" s="57"/>
      <c r="H15" s="57"/>
      <c r="I15" s="57"/>
      <c r="J15" s="57"/>
      <c r="K15" s="57"/>
      <c r="L15" s="57"/>
      <c r="M15" s="56"/>
      <c r="N15" s="56"/>
      <c r="O15" s="56"/>
      <c r="P15" s="56"/>
      <c r="Q15" s="56"/>
      <c r="R15" s="56"/>
      <c r="S15" s="56"/>
      <c r="T15" s="56"/>
      <c r="U15" s="56"/>
      <c r="V15" s="56" t="str">
        <f t="shared" ref="N15:AQ17" si="16">IF(V$4="木","昼",IF(V$4="金","お",""))</f>
        <v/>
      </c>
      <c r="W15" s="56"/>
      <c r="X15" s="56"/>
      <c r="Y15" s="56"/>
      <c r="Z15" s="56"/>
      <c r="AA15" s="56"/>
      <c r="AB15" s="56"/>
      <c r="AC15" s="56"/>
      <c r="AD15" s="56"/>
      <c r="AE15" s="58"/>
      <c r="AF15" s="56"/>
      <c r="AG15" s="56"/>
      <c r="AH15" s="56"/>
      <c r="AI15" s="56"/>
      <c r="AJ15" s="56"/>
      <c r="AK15" s="56"/>
      <c r="AL15" s="56"/>
      <c r="AM15" s="56"/>
      <c r="AN15" s="56"/>
      <c r="AO15" s="56"/>
      <c r="AP15" s="56"/>
      <c r="AQ15" s="56"/>
      <c r="AR15" s="56" t="str">
        <f t="shared" si="4"/>
        <v/>
      </c>
      <c r="AS15" s="56" t="str">
        <f t="shared" si="5"/>
        <v/>
      </c>
      <c r="AT15" s="56" t="str">
        <f t="shared" si="6"/>
        <v/>
      </c>
      <c r="AU15" s="56" t="str">
        <f t="shared" si="7"/>
        <v/>
      </c>
      <c r="AV15" s="56">
        <f t="shared" si="10"/>
        <v>0</v>
      </c>
      <c r="AW15" s="56" t="s">
        <v>323</v>
      </c>
      <c r="AX15" s="56" t="s">
        <v>355</v>
      </c>
      <c r="AY15" s="59">
        <v>9094067262</v>
      </c>
      <c r="AZ15" s="56" t="s">
        <v>356</v>
      </c>
      <c r="BA15" s="59">
        <v>7012498633</v>
      </c>
      <c r="BB15" s="66" t="s">
        <v>326</v>
      </c>
      <c r="BC15" s="56">
        <v>2</v>
      </c>
      <c r="BD15" s="88"/>
      <c r="BE15" s="53"/>
      <c r="BF15" s="55"/>
    </row>
    <row r="16" spans="1:58" s="54" customFormat="1" ht="24" customHeight="1" x14ac:dyDescent="0.45">
      <c r="A16" s="72">
        <v>12</v>
      </c>
      <c r="B16" s="57" t="s">
        <v>357</v>
      </c>
      <c r="C16" s="57"/>
      <c r="D16" s="57"/>
      <c r="E16" s="57"/>
      <c r="F16" s="57"/>
      <c r="G16" s="57"/>
      <c r="H16" s="57"/>
      <c r="I16" s="57"/>
      <c r="J16" s="57"/>
      <c r="K16" s="57"/>
      <c r="L16" s="57"/>
      <c r="M16" s="56"/>
      <c r="N16" s="56"/>
      <c r="O16" s="56"/>
      <c r="P16" s="56" t="s">
        <v>352</v>
      </c>
      <c r="Q16" s="76" t="s">
        <v>319</v>
      </c>
      <c r="R16" s="56" t="s">
        <v>319</v>
      </c>
      <c r="S16" s="76" t="s">
        <v>319</v>
      </c>
      <c r="T16" s="56" t="s">
        <v>319</v>
      </c>
      <c r="U16" s="56" t="s">
        <v>319</v>
      </c>
      <c r="V16" s="56" t="s">
        <v>319</v>
      </c>
      <c r="W16" s="76" t="s">
        <v>319</v>
      </c>
      <c r="X16" s="56" t="s">
        <v>319</v>
      </c>
      <c r="Y16" s="56" t="s">
        <v>319</v>
      </c>
      <c r="Z16" s="56" t="s">
        <v>320</v>
      </c>
      <c r="AA16" s="56"/>
      <c r="AB16" s="56"/>
      <c r="AC16" s="56"/>
      <c r="AD16" s="76" t="s">
        <v>352</v>
      </c>
      <c r="AE16" s="56" t="s">
        <v>319</v>
      </c>
      <c r="AF16" s="56" t="s">
        <v>319</v>
      </c>
      <c r="AG16" s="76" t="s">
        <v>319</v>
      </c>
      <c r="AH16" s="56" t="s">
        <v>319</v>
      </c>
      <c r="AI16" s="56" t="s">
        <v>319</v>
      </c>
      <c r="AJ16" s="56" t="s">
        <v>319</v>
      </c>
      <c r="AK16" s="76" t="s">
        <v>319</v>
      </c>
      <c r="AL16" s="56" t="s">
        <v>319</v>
      </c>
      <c r="AM16" s="56" t="s">
        <v>319</v>
      </c>
      <c r="AN16" s="56" t="s">
        <v>320</v>
      </c>
      <c r="AO16" s="56"/>
      <c r="AP16" s="56"/>
      <c r="AQ16" s="56"/>
      <c r="AR16" s="56">
        <f t="shared" si="4"/>
        <v>2</v>
      </c>
      <c r="AS16" s="56">
        <f t="shared" si="5"/>
        <v>18</v>
      </c>
      <c r="AT16" s="56">
        <f t="shared" si="6"/>
        <v>2</v>
      </c>
      <c r="AU16" s="56" t="str">
        <f t="shared" si="7"/>
        <v/>
      </c>
      <c r="AV16" s="56">
        <f t="shared" si="10"/>
        <v>22</v>
      </c>
      <c r="AW16" s="56" t="s">
        <v>330</v>
      </c>
      <c r="AX16" s="56" t="s">
        <v>358</v>
      </c>
      <c r="AY16" s="59">
        <v>8035335927</v>
      </c>
      <c r="AZ16" s="56" t="s">
        <v>359</v>
      </c>
      <c r="BA16" s="59">
        <v>9082902739</v>
      </c>
      <c r="BB16" s="66" t="s">
        <v>360</v>
      </c>
      <c r="BC16" s="56">
        <v>3</v>
      </c>
      <c r="BD16" s="88"/>
      <c r="BE16" s="53"/>
      <c r="BF16" s="55"/>
    </row>
    <row r="17" spans="1:58" s="54" customFormat="1" ht="24" customHeight="1" x14ac:dyDescent="0.45">
      <c r="A17" s="72">
        <v>13</v>
      </c>
      <c r="B17" s="57" t="s">
        <v>471</v>
      </c>
      <c r="C17" s="57"/>
      <c r="D17" s="57"/>
      <c r="E17" s="57"/>
      <c r="F17" s="57"/>
      <c r="G17" s="57"/>
      <c r="H17" s="57"/>
      <c r="I17" s="57"/>
      <c r="J17" s="57"/>
      <c r="K17" s="57"/>
      <c r="L17" s="57"/>
      <c r="M17" s="56" t="str">
        <f>IF(M$4="木","昼",IF(M$4="金","お",""))</f>
        <v>お</v>
      </c>
      <c r="N17" s="56" t="str">
        <f t="shared" si="16"/>
        <v/>
      </c>
      <c r="O17" s="56" t="str">
        <f t="shared" si="16"/>
        <v/>
      </c>
      <c r="P17" s="56" t="str">
        <f t="shared" si="16"/>
        <v/>
      </c>
      <c r="Q17" s="56" t="str">
        <f t="shared" si="16"/>
        <v/>
      </c>
      <c r="R17" s="56" t="str">
        <f t="shared" si="16"/>
        <v/>
      </c>
      <c r="S17" s="56" t="str">
        <f t="shared" si="16"/>
        <v>昼</v>
      </c>
      <c r="T17" s="56" t="str">
        <f t="shared" si="16"/>
        <v>お</v>
      </c>
      <c r="U17" s="56" t="str">
        <f t="shared" si="16"/>
        <v/>
      </c>
      <c r="V17" s="56" t="str">
        <f t="shared" si="16"/>
        <v/>
      </c>
      <c r="W17" s="56" t="str">
        <f t="shared" si="16"/>
        <v/>
      </c>
      <c r="X17" s="56" t="str">
        <f t="shared" si="16"/>
        <v/>
      </c>
      <c r="Y17" s="56" t="str">
        <f t="shared" si="16"/>
        <v/>
      </c>
      <c r="Z17" s="56" t="str">
        <f t="shared" si="16"/>
        <v>昼</v>
      </c>
      <c r="AA17" s="56" t="str">
        <f t="shared" si="16"/>
        <v>お</v>
      </c>
      <c r="AB17" s="56" t="str">
        <f t="shared" si="16"/>
        <v/>
      </c>
      <c r="AC17" s="56" t="str">
        <f t="shared" si="16"/>
        <v/>
      </c>
      <c r="AD17" s="56" t="str">
        <f t="shared" si="16"/>
        <v/>
      </c>
      <c r="AE17" s="56" t="str">
        <f t="shared" si="16"/>
        <v/>
      </c>
      <c r="AF17" s="56" t="str">
        <f t="shared" si="16"/>
        <v/>
      </c>
      <c r="AG17" s="56"/>
      <c r="AH17" s="56"/>
      <c r="AI17" s="56" t="str">
        <f t="shared" si="16"/>
        <v/>
      </c>
      <c r="AJ17" s="56" t="str">
        <f t="shared" si="16"/>
        <v/>
      </c>
      <c r="AK17" s="56" t="str">
        <f t="shared" si="16"/>
        <v/>
      </c>
      <c r="AL17" s="56" t="str">
        <f t="shared" si="16"/>
        <v/>
      </c>
      <c r="AM17" s="56" t="str">
        <f t="shared" si="16"/>
        <v/>
      </c>
      <c r="AN17" s="56"/>
      <c r="AO17" s="56"/>
      <c r="AP17" s="56" t="str">
        <f t="shared" si="16"/>
        <v/>
      </c>
      <c r="AQ17" s="56" t="str">
        <f t="shared" si="16"/>
        <v/>
      </c>
      <c r="AR17" s="56">
        <f t="shared" si="4"/>
        <v>2</v>
      </c>
      <c r="AS17" s="56" t="str">
        <f t="shared" si="5"/>
        <v/>
      </c>
      <c r="AT17" s="56">
        <f t="shared" si="6"/>
        <v>3</v>
      </c>
      <c r="AU17" s="56" t="str">
        <f t="shared" si="7"/>
        <v/>
      </c>
      <c r="AV17" s="56">
        <f t="shared" si="10"/>
        <v>5</v>
      </c>
      <c r="AW17" s="56" t="s">
        <v>330</v>
      </c>
      <c r="AX17" s="56" t="s">
        <v>472</v>
      </c>
      <c r="AY17" s="59">
        <v>8064949861</v>
      </c>
      <c r="AZ17" s="56" t="s">
        <v>380</v>
      </c>
      <c r="BA17" s="59">
        <v>8033750538</v>
      </c>
      <c r="BB17" s="66" t="s">
        <v>326</v>
      </c>
      <c r="BC17" s="56">
        <v>3</v>
      </c>
      <c r="BD17" s="88"/>
      <c r="BE17" s="61" t="s">
        <v>365</v>
      </c>
      <c r="BF17" s="55" t="s">
        <v>366</v>
      </c>
    </row>
    <row r="18" spans="1:58" s="54" customFormat="1" ht="24" customHeight="1" x14ac:dyDescent="0.45">
      <c r="A18" s="72">
        <v>14</v>
      </c>
      <c r="B18" s="57" t="s">
        <v>363</v>
      </c>
      <c r="C18" s="57"/>
      <c r="D18" s="57"/>
      <c r="E18" s="57"/>
      <c r="F18" s="57"/>
      <c r="G18" s="57"/>
      <c r="H18" s="57"/>
      <c r="I18" s="57"/>
      <c r="J18" s="57"/>
      <c r="K18" s="57"/>
      <c r="L18" s="57"/>
      <c r="M18" s="56" t="str">
        <f>IF(M$4="日","昼",IF(M$4="月","お",""))</f>
        <v/>
      </c>
      <c r="N18" s="56" t="str">
        <f t="shared" ref="N18:AQ18" si="17">IF(N$4="日","昼",IF(N$4="月","お",""))</f>
        <v/>
      </c>
      <c r="O18" s="58" t="str">
        <f t="shared" si="17"/>
        <v>昼</v>
      </c>
      <c r="P18" s="56" t="str">
        <f t="shared" si="17"/>
        <v>お</v>
      </c>
      <c r="Q18" s="56" t="str">
        <f t="shared" si="17"/>
        <v/>
      </c>
      <c r="R18" s="56" t="str">
        <f t="shared" si="17"/>
        <v/>
      </c>
      <c r="S18" s="56" t="str">
        <f t="shared" si="17"/>
        <v/>
      </c>
      <c r="T18" s="56" t="str">
        <f t="shared" si="17"/>
        <v/>
      </c>
      <c r="U18" s="56" t="str">
        <f t="shared" si="17"/>
        <v/>
      </c>
      <c r="V18" s="58"/>
      <c r="W18" s="56"/>
      <c r="X18" s="56"/>
      <c r="Y18" s="56"/>
      <c r="Z18" s="56" t="str">
        <f t="shared" si="17"/>
        <v/>
      </c>
      <c r="AA18" s="56" t="str">
        <f t="shared" si="17"/>
        <v/>
      </c>
      <c r="AB18" s="56" t="str">
        <f t="shared" si="17"/>
        <v/>
      </c>
      <c r="AC18" s="58" t="str">
        <f t="shared" si="17"/>
        <v>昼</v>
      </c>
      <c r="AD18" s="56" t="str">
        <f t="shared" si="17"/>
        <v>お</v>
      </c>
      <c r="AE18" s="56" t="str">
        <f t="shared" si="17"/>
        <v/>
      </c>
      <c r="AF18" s="56" t="str">
        <f t="shared" si="17"/>
        <v/>
      </c>
      <c r="AG18" s="56" t="str">
        <f t="shared" si="17"/>
        <v/>
      </c>
      <c r="AH18" s="56" t="str">
        <f t="shared" si="17"/>
        <v/>
      </c>
      <c r="AI18" s="56" t="str">
        <f t="shared" si="17"/>
        <v/>
      </c>
      <c r="AJ18" s="58" t="str">
        <f t="shared" si="17"/>
        <v>昼</v>
      </c>
      <c r="AK18" s="56" t="str">
        <f t="shared" si="17"/>
        <v>お</v>
      </c>
      <c r="AL18" s="56" t="str">
        <f t="shared" si="17"/>
        <v/>
      </c>
      <c r="AM18" s="56" t="str">
        <f t="shared" si="17"/>
        <v/>
      </c>
      <c r="AN18" s="56" t="str">
        <f t="shared" si="17"/>
        <v/>
      </c>
      <c r="AO18" s="56" t="str">
        <f t="shared" si="17"/>
        <v/>
      </c>
      <c r="AP18" s="56" t="str">
        <f t="shared" si="17"/>
        <v/>
      </c>
      <c r="AQ18" s="58" t="str">
        <f t="shared" si="17"/>
        <v>昼</v>
      </c>
      <c r="AR18" s="56">
        <f t="shared" si="4"/>
        <v>4</v>
      </c>
      <c r="AS18" s="56" t="str">
        <f t="shared" si="5"/>
        <v/>
      </c>
      <c r="AT18" s="56">
        <f t="shared" si="6"/>
        <v>3</v>
      </c>
      <c r="AU18" s="56" t="str">
        <f t="shared" si="7"/>
        <v/>
      </c>
      <c r="AV18" s="56">
        <f t="shared" si="10"/>
        <v>7</v>
      </c>
      <c r="AW18" s="56" t="s">
        <v>323</v>
      </c>
      <c r="AX18" s="59" t="s">
        <v>364</v>
      </c>
      <c r="AY18" s="59">
        <v>9082937045</v>
      </c>
      <c r="AZ18" s="56" t="s">
        <v>336</v>
      </c>
      <c r="BA18" s="59">
        <v>8039162381</v>
      </c>
      <c r="BB18" s="118" t="s">
        <v>326</v>
      </c>
      <c r="BC18" s="56">
        <v>3</v>
      </c>
      <c r="BD18" s="88"/>
      <c r="BE18" s="61"/>
      <c r="BF18" s="55"/>
    </row>
    <row r="19" spans="1:58" s="54" customFormat="1" ht="24" customHeight="1" x14ac:dyDescent="0.45">
      <c r="A19" s="72">
        <v>15</v>
      </c>
      <c r="B19" s="57" t="s">
        <v>499</v>
      </c>
      <c r="C19" s="57"/>
      <c r="D19" s="57"/>
      <c r="E19" s="57"/>
      <c r="F19" s="57"/>
      <c r="G19" s="57"/>
      <c r="H19" s="57"/>
      <c r="I19" s="57"/>
      <c r="J19" s="57"/>
      <c r="K19" s="57"/>
      <c r="L19" s="57"/>
      <c r="M19" s="56" t="str">
        <f>IF(M$4="月","昼",IF(M$4="火","お",""))</f>
        <v/>
      </c>
      <c r="N19" s="56" t="str">
        <f t="shared" ref="N19:AQ19" si="18">IF(N$4="月","昼",IF(N$4="火","お",""))</f>
        <v/>
      </c>
      <c r="O19" s="56"/>
      <c r="P19" s="56"/>
      <c r="Q19" s="56"/>
      <c r="R19" s="56" t="str">
        <f t="shared" si="18"/>
        <v/>
      </c>
      <c r="S19" s="56" t="str">
        <f t="shared" si="18"/>
        <v/>
      </c>
      <c r="T19" s="56" t="str">
        <f t="shared" si="18"/>
        <v/>
      </c>
      <c r="U19" s="56" t="str">
        <f t="shared" si="18"/>
        <v/>
      </c>
      <c r="V19" s="56"/>
      <c r="W19" s="56"/>
      <c r="X19" s="56"/>
      <c r="Y19" s="56"/>
      <c r="Z19" s="56" t="str">
        <f t="shared" si="18"/>
        <v/>
      </c>
      <c r="AA19" s="56" t="str">
        <f t="shared" si="18"/>
        <v/>
      </c>
      <c r="AB19" s="56" t="str">
        <f t="shared" si="18"/>
        <v/>
      </c>
      <c r="AC19" s="56"/>
      <c r="AD19" s="56"/>
      <c r="AE19" s="56"/>
      <c r="AF19" s="56"/>
      <c r="AG19" s="56"/>
      <c r="AH19" s="56"/>
      <c r="AI19" s="56"/>
      <c r="AJ19" s="56"/>
      <c r="AK19" s="56"/>
      <c r="AL19" s="56"/>
      <c r="AM19" s="56" t="str">
        <f t="shared" si="18"/>
        <v/>
      </c>
      <c r="AN19" s="56" t="str">
        <f t="shared" si="18"/>
        <v/>
      </c>
      <c r="AO19" s="56" t="str">
        <f t="shared" si="18"/>
        <v/>
      </c>
      <c r="AP19" s="56" t="str">
        <f t="shared" si="18"/>
        <v/>
      </c>
      <c r="AQ19" s="56" t="str">
        <f t="shared" si="18"/>
        <v/>
      </c>
      <c r="AR19" s="56" t="str">
        <f t="shared" si="4"/>
        <v/>
      </c>
      <c r="AS19" s="56" t="str">
        <f t="shared" si="5"/>
        <v/>
      </c>
      <c r="AT19" s="56" t="str">
        <f t="shared" si="6"/>
        <v/>
      </c>
      <c r="AU19" s="56" t="str">
        <f t="shared" si="7"/>
        <v/>
      </c>
      <c r="AV19" s="56">
        <f t="shared" si="10"/>
        <v>0</v>
      </c>
      <c r="AW19" s="56" t="s">
        <v>323</v>
      </c>
      <c r="AX19" s="56" t="s">
        <v>500</v>
      </c>
      <c r="AY19" s="59">
        <v>9019451217</v>
      </c>
      <c r="AZ19" s="56" t="s">
        <v>380</v>
      </c>
      <c r="BA19" s="59">
        <v>8033750538</v>
      </c>
      <c r="BB19" s="66" t="s">
        <v>326</v>
      </c>
      <c r="BC19" s="56">
        <v>3</v>
      </c>
      <c r="BD19" s="88"/>
      <c r="BE19" s="61"/>
      <c r="BF19" s="55"/>
    </row>
    <row r="20" spans="1:58" s="54" customFormat="1" ht="24" customHeight="1" x14ac:dyDescent="0.45">
      <c r="A20" s="72">
        <v>16</v>
      </c>
      <c r="B20" s="57" t="s">
        <v>367</v>
      </c>
      <c r="C20" s="57"/>
      <c r="D20" s="57"/>
      <c r="E20" s="57"/>
      <c r="F20" s="57"/>
      <c r="G20" s="57"/>
      <c r="H20" s="57"/>
      <c r="I20" s="57"/>
      <c r="J20" s="57"/>
      <c r="K20" s="57"/>
      <c r="L20" s="57"/>
      <c r="M20" s="56"/>
      <c r="N20" s="56"/>
      <c r="O20" s="56"/>
      <c r="P20" s="56"/>
      <c r="Q20" s="56"/>
      <c r="R20" s="56"/>
      <c r="S20" s="56"/>
      <c r="T20" s="56"/>
      <c r="U20" s="56"/>
      <c r="V20" s="56"/>
      <c r="W20" s="56"/>
      <c r="X20" s="56"/>
      <c r="Y20" s="56"/>
      <c r="Z20" s="56"/>
      <c r="AA20" s="56"/>
      <c r="AB20" s="56"/>
      <c r="AC20" s="56"/>
      <c r="AD20" s="58"/>
      <c r="AE20" s="56"/>
      <c r="AF20" s="56"/>
      <c r="AG20" s="56"/>
      <c r="AH20" s="56" t="s">
        <v>318</v>
      </c>
      <c r="AI20" s="56" t="s">
        <v>319</v>
      </c>
      <c r="AJ20" s="56" t="s">
        <v>319</v>
      </c>
      <c r="AK20" s="56" t="s">
        <v>320</v>
      </c>
      <c r="AL20" s="56"/>
      <c r="AM20" s="56"/>
      <c r="AN20" s="56"/>
      <c r="AO20" s="56"/>
      <c r="AP20" s="56"/>
      <c r="AQ20" s="56"/>
      <c r="AR20" s="56">
        <f t="shared" si="4"/>
        <v>1</v>
      </c>
      <c r="AS20" s="56">
        <f t="shared" si="5"/>
        <v>2</v>
      </c>
      <c r="AT20" s="56">
        <f t="shared" si="6"/>
        <v>1</v>
      </c>
      <c r="AU20" s="56" t="str">
        <f t="shared" si="7"/>
        <v/>
      </c>
      <c r="AV20" s="56">
        <f t="shared" si="10"/>
        <v>4</v>
      </c>
      <c r="AW20" s="56" t="s">
        <v>330</v>
      </c>
      <c r="AX20" s="56" t="s">
        <v>368</v>
      </c>
      <c r="AY20" s="59">
        <v>98037966964</v>
      </c>
      <c r="AZ20" s="56" t="s">
        <v>369</v>
      </c>
      <c r="BA20" s="59">
        <v>8064920886</v>
      </c>
      <c r="BB20" s="66" t="s">
        <v>347</v>
      </c>
      <c r="BC20" s="56">
        <v>2</v>
      </c>
      <c r="BD20" s="88"/>
      <c r="BE20" s="61"/>
      <c r="BF20" s="55"/>
    </row>
    <row r="21" spans="1:58" s="54" customFormat="1" ht="24" customHeight="1" x14ac:dyDescent="0.45">
      <c r="A21" s="72">
        <v>17</v>
      </c>
      <c r="B21" s="57" t="s">
        <v>370</v>
      </c>
      <c r="C21" s="57"/>
      <c r="D21" s="57"/>
      <c r="E21" s="57"/>
      <c r="F21" s="57"/>
      <c r="G21" s="57"/>
      <c r="H21" s="57"/>
      <c r="I21" s="57"/>
      <c r="J21" s="57"/>
      <c r="K21" s="57"/>
      <c r="L21" s="57"/>
      <c r="M21" s="56"/>
      <c r="N21" s="56"/>
      <c r="O21" s="56"/>
      <c r="P21" s="56"/>
      <c r="Q21" s="56"/>
      <c r="R21" s="56"/>
      <c r="S21" s="56"/>
      <c r="T21" s="56"/>
      <c r="U21" s="56"/>
      <c r="V21" s="56"/>
      <c r="W21" s="56"/>
      <c r="X21" s="56"/>
      <c r="Y21" s="56"/>
      <c r="Z21" s="56"/>
      <c r="AA21" s="56" t="s">
        <v>318</v>
      </c>
      <c r="AB21" s="56" t="s">
        <v>319</v>
      </c>
      <c r="AC21" s="58" t="s">
        <v>320</v>
      </c>
      <c r="AD21" s="56"/>
      <c r="AE21" s="56"/>
      <c r="AF21" s="56"/>
      <c r="AG21" s="56"/>
      <c r="AH21" s="56"/>
      <c r="AI21" s="56"/>
      <c r="AJ21" s="56"/>
      <c r="AK21" s="56"/>
      <c r="AL21" s="56"/>
      <c r="AM21" s="56"/>
      <c r="AN21" s="56"/>
      <c r="AO21" s="56" t="s">
        <v>318</v>
      </c>
      <c r="AP21" s="56" t="s">
        <v>319</v>
      </c>
      <c r="AQ21" s="58" t="s">
        <v>320</v>
      </c>
      <c r="AR21" s="56">
        <f t="shared" si="4"/>
        <v>2</v>
      </c>
      <c r="AS21" s="56">
        <f t="shared" si="5"/>
        <v>2</v>
      </c>
      <c r="AT21" s="56">
        <f t="shared" si="6"/>
        <v>2</v>
      </c>
      <c r="AU21" s="56" t="str">
        <f t="shared" si="7"/>
        <v/>
      </c>
      <c r="AV21" s="56">
        <f t="shared" si="10"/>
        <v>6</v>
      </c>
      <c r="AW21" s="56" t="s">
        <v>323</v>
      </c>
      <c r="AX21" s="56" t="s">
        <v>371</v>
      </c>
      <c r="AY21" s="59">
        <v>9082930790</v>
      </c>
      <c r="AZ21" s="56" t="s">
        <v>372</v>
      </c>
      <c r="BA21" s="59">
        <v>7083029211</v>
      </c>
      <c r="BB21" s="66" t="s">
        <v>337</v>
      </c>
      <c r="BC21" s="56">
        <v>3</v>
      </c>
      <c r="BD21" s="88"/>
      <c r="BE21" s="61"/>
      <c r="BF21" s="55"/>
    </row>
    <row r="22" spans="1:58" s="54" customFormat="1" ht="24" customHeight="1" x14ac:dyDescent="0.45">
      <c r="A22" s="72">
        <v>18</v>
      </c>
      <c r="B22" s="57" t="s">
        <v>361</v>
      </c>
      <c r="C22" s="57"/>
      <c r="D22" s="57"/>
      <c r="E22" s="57"/>
      <c r="F22" s="57"/>
      <c r="G22" s="57"/>
      <c r="H22" s="57"/>
      <c r="I22" s="57"/>
      <c r="J22" s="57"/>
      <c r="K22" s="57"/>
      <c r="L22" s="57"/>
      <c r="M22" s="76" t="s">
        <v>319</v>
      </c>
      <c r="N22" s="56" t="s">
        <v>319</v>
      </c>
      <c r="O22" s="56" t="s">
        <v>319</v>
      </c>
      <c r="P22" s="56" t="s">
        <v>319</v>
      </c>
      <c r="Q22" s="76" t="s">
        <v>319</v>
      </c>
      <c r="R22" s="56" t="s">
        <v>319</v>
      </c>
      <c r="S22" s="56" t="s">
        <v>319</v>
      </c>
      <c r="T22" s="76" t="s">
        <v>319</v>
      </c>
      <c r="U22" s="56" t="s">
        <v>319</v>
      </c>
      <c r="V22" s="56" t="s">
        <v>319</v>
      </c>
      <c r="W22" s="56" t="s">
        <v>319</v>
      </c>
      <c r="X22" s="76" t="s">
        <v>319</v>
      </c>
      <c r="Y22" s="56" t="s">
        <v>319</v>
      </c>
      <c r="Z22" s="56" t="s">
        <v>319</v>
      </c>
      <c r="AA22" s="76" t="s">
        <v>319</v>
      </c>
      <c r="AB22" s="56" t="s">
        <v>319</v>
      </c>
      <c r="AC22" s="56" t="s">
        <v>319</v>
      </c>
      <c r="AD22" s="56" t="s">
        <v>319</v>
      </c>
      <c r="AE22" s="76" t="s">
        <v>319</v>
      </c>
      <c r="AF22" s="56" t="s">
        <v>319</v>
      </c>
      <c r="AG22" s="56" t="s">
        <v>319</v>
      </c>
      <c r="AH22" s="76" t="s">
        <v>319</v>
      </c>
      <c r="AI22" s="56" t="s">
        <v>319</v>
      </c>
      <c r="AJ22" s="56" t="s">
        <v>319</v>
      </c>
      <c r="AK22" s="56" t="s">
        <v>319</v>
      </c>
      <c r="AL22" s="76" t="s">
        <v>319</v>
      </c>
      <c r="AM22" s="56" t="s">
        <v>319</v>
      </c>
      <c r="AN22" s="56" t="s">
        <v>319</v>
      </c>
      <c r="AO22" s="76" t="s">
        <v>319</v>
      </c>
      <c r="AP22" s="56" t="s">
        <v>319</v>
      </c>
      <c r="AQ22" s="56" t="s">
        <v>319</v>
      </c>
      <c r="AR22" s="56" t="str">
        <f t="shared" si="4"/>
        <v/>
      </c>
      <c r="AS22" s="56">
        <f t="shared" si="5"/>
        <v>31</v>
      </c>
      <c r="AT22" s="56" t="str">
        <f t="shared" si="6"/>
        <v/>
      </c>
      <c r="AU22" s="56" t="str">
        <f t="shared" si="7"/>
        <v/>
      </c>
      <c r="AV22" s="56">
        <f t="shared" si="10"/>
        <v>31</v>
      </c>
      <c r="AW22" s="56" t="s">
        <v>323</v>
      </c>
      <c r="AX22" s="56" t="s">
        <v>362</v>
      </c>
      <c r="AY22" s="59">
        <v>9075855328</v>
      </c>
      <c r="AZ22" s="56" t="s">
        <v>336</v>
      </c>
      <c r="BA22" s="59">
        <v>8039162381</v>
      </c>
      <c r="BB22" s="66" t="s">
        <v>337</v>
      </c>
      <c r="BC22" s="56">
        <v>1</v>
      </c>
      <c r="BD22" s="88"/>
      <c r="BE22" s="61"/>
      <c r="BF22" s="55"/>
    </row>
    <row r="23" spans="1:58" s="54" customFormat="1" ht="24" customHeight="1" x14ac:dyDescent="0.45">
      <c r="A23" s="72">
        <v>19</v>
      </c>
      <c r="B23" s="57" t="s">
        <v>373</v>
      </c>
      <c r="C23" s="57"/>
      <c r="D23" s="57"/>
      <c r="E23" s="57"/>
      <c r="F23" s="57"/>
      <c r="G23" s="57"/>
      <c r="H23" s="57"/>
      <c r="I23" s="57"/>
      <c r="J23" s="57"/>
      <c r="K23" s="57"/>
      <c r="L23" s="57"/>
      <c r="M23" s="56"/>
      <c r="N23" s="56"/>
      <c r="O23" s="58" t="s">
        <v>352</v>
      </c>
      <c r="P23" s="56" t="s">
        <v>320</v>
      </c>
      <c r="Q23" s="56"/>
      <c r="R23" s="56"/>
      <c r="S23" s="56"/>
      <c r="T23" s="56"/>
      <c r="U23" s="56"/>
      <c r="V23" s="56"/>
      <c r="W23" s="56"/>
      <c r="X23" s="56"/>
      <c r="Y23" s="56"/>
      <c r="Z23" s="56"/>
      <c r="AA23" s="58"/>
      <c r="AB23" s="72"/>
      <c r="AC23" s="56"/>
      <c r="AD23" s="56"/>
      <c r="AE23" s="58"/>
      <c r="AF23" s="56"/>
      <c r="AG23" s="56"/>
      <c r="AH23" s="56"/>
      <c r="AI23" s="57"/>
      <c r="AJ23" s="56"/>
      <c r="AK23" s="56"/>
      <c r="AL23" s="56"/>
      <c r="AM23" s="56"/>
      <c r="AN23" s="56"/>
      <c r="AO23" s="56"/>
      <c r="AP23" s="56"/>
      <c r="AQ23" s="56"/>
      <c r="AR23" s="56">
        <f t="shared" si="4"/>
        <v>1</v>
      </c>
      <c r="AS23" s="56" t="str">
        <f t="shared" si="5"/>
        <v/>
      </c>
      <c r="AT23" s="56">
        <f t="shared" si="6"/>
        <v>1</v>
      </c>
      <c r="AU23" s="56" t="str">
        <f t="shared" si="7"/>
        <v/>
      </c>
      <c r="AV23" s="56">
        <f t="shared" si="10"/>
        <v>2</v>
      </c>
      <c r="AW23" s="56" t="s">
        <v>323</v>
      </c>
      <c r="AX23" s="56" t="s">
        <v>374</v>
      </c>
      <c r="AY23" s="59">
        <v>8064937799</v>
      </c>
      <c r="AZ23" s="56" t="s">
        <v>375</v>
      </c>
      <c r="BA23" s="59">
        <v>8075301442</v>
      </c>
      <c r="BB23" s="66"/>
      <c r="BC23" s="56">
        <v>3</v>
      </c>
      <c r="BD23" s="88"/>
      <c r="BE23" s="61"/>
      <c r="BF23" s="55"/>
    </row>
    <row r="24" spans="1:58" s="54" customFormat="1" ht="24" customHeight="1" x14ac:dyDescent="0.45">
      <c r="A24" s="72">
        <v>20</v>
      </c>
      <c r="B24" s="57" t="s">
        <v>376</v>
      </c>
      <c r="C24" s="57"/>
      <c r="D24" s="57"/>
      <c r="E24" s="57"/>
      <c r="F24" s="57"/>
      <c r="G24" s="57"/>
      <c r="H24" s="57"/>
      <c r="I24" s="57"/>
      <c r="J24" s="57"/>
      <c r="K24" s="57"/>
      <c r="L24" s="57"/>
      <c r="M24" s="56"/>
      <c r="N24" s="56"/>
      <c r="O24" s="56"/>
      <c r="P24" s="56"/>
      <c r="Q24" s="56"/>
      <c r="R24" s="56"/>
      <c r="S24" s="56"/>
      <c r="T24" s="58"/>
      <c r="U24" s="56"/>
      <c r="V24" s="56"/>
      <c r="W24" s="56"/>
      <c r="X24" s="56"/>
      <c r="Y24" s="56"/>
      <c r="Z24" s="56"/>
      <c r="AA24" s="56"/>
      <c r="AB24" s="56"/>
      <c r="AC24" s="56"/>
      <c r="AD24" s="56"/>
      <c r="AE24" s="56"/>
      <c r="AF24" s="56"/>
      <c r="AG24" s="56"/>
      <c r="AH24" s="56" t="s">
        <v>318</v>
      </c>
      <c r="AI24" s="56" t="s">
        <v>320</v>
      </c>
      <c r="AJ24" s="56"/>
      <c r="AK24" s="56"/>
      <c r="AL24" s="56"/>
      <c r="AM24" s="56"/>
      <c r="AN24" s="56"/>
      <c r="AO24" s="56"/>
      <c r="AP24" s="56"/>
      <c r="AQ24" s="56"/>
      <c r="AR24" s="56">
        <f t="shared" si="4"/>
        <v>1</v>
      </c>
      <c r="AS24" s="56" t="str">
        <f t="shared" si="5"/>
        <v/>
      </c>
      <c r="AT24" s="56">
        <f t="shared" si="6"/>
        <v>1</v>
      </c>
      <c r="AU24" s="56" t="str">
        <f t="shared" si="7"/>
        <v/>
      </c>
      <c r="AV24" s="56">
        <f t="shared" si="10"/>
        <v>2</v>
      </c>
      <c r="AW24" s="56" t="s">
        <v>330</v>
      </c>
      <c r="AX24" s="56" t="s">
        <v>377</v>
      </c>
      <c r="AY24" s="59">
        <v>9075866267</v>
      </c>
      <c r="AZ24" s="56" t="s">
        <v>336</v>
      </c>
      <c r="BA24" s="59">
        <v>8039162381</v>
      </c>
      <c r="BB24" s="66" t="s">
        <v>347</v>
      </c>
      <c r="BC24" s="56">
        <v>3</v>
      </c>
      <c r="BD24" s="88"/>
      <c r="BE24" s="61"/>
      <c r="BF24" s="55"/>
    </row>
    <row r="25" spans="1:58" s="54" customFormat="1" ht="24" customHeight="1" x14ac:dyDescent="0.45">
      <c r="A25" s="72">
        <v>21</v>
      </c>
      <c r="B25" s="57" t="s">
        <v>521</v>
      </c>
      <c r="C25" s="57"/>
      <c r="D25" s="57"/>
      <c r="E25" s="57"/>
      <c r="F25" s="57"/>
      <c r="G25" s="57"/>
      <c r="H25" s="57"/>
      <c r="I25" s="57"/>
      <c r="J25" s="57"/>
      <c r="K25" s="57"/>
      <c r="L25" s="57"/>
      <c r="M25" s="56"/>
      <c r="N25" s="56" t="str">
        <f t="shared" ref="N25:AQ25" si="19">IF(N$4="火","昼",IF(N$4="水","○",IF(N$4="木","○",IF(N$4="金","お",""))))</f>
        <v/>
      </c>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t="str">
        <f t="shared" si="19"/>
        <v/>
      </c>
      <c r="AQ25" s="56" t="str">
        <f t="shared" si="19"/>
        <v/>
      </c>
      <c r="AR25" s="56" t="str">
        <f t="shared" si="4"/>
        <v/>
      </c>
      <c r="AS25" s="56" t="str">
        <f t="shared" si="5"/>
        <v/>
      </c>
      <c r="AT25" s="56" t="str">
        <f t="shared" si="6"/>
        <v/>
      </c>
      <c r="AU25" s="56" t="str">
        <f t="shared" si="7"/>
        <v/>
      </c>
      <c r="AV25" s="56">
        <f t="shared" si="10"/>
        <v>0</v>
      </c>
      <c r="AW25" s="56" t="s">
        <v>330</v>
      </c>
      <c r="AX25" s="56" t="s">
        <v>522</v>
      </c>
      <c r="AY25" s="59">
        <v>9037979725</v>
      </c>
      <c r="AZ25" s="56" t="s">
        <v>359</v>
      </c>
      <c r="BA25" s="59">
        <v>9082902739</v>
      </c>
      <c r="BB25" s="66" t="s">
        <v>337</v>
      </c>
      <c r="BC25" s="56">
        <v>1</v>
      </c>
      <c r="BD25" s="88"/>
      <c r="BE25" s="61"/>
      <c r="BF25" s="55"/>
    </row>
    <row r="26" spans="1:58" s="54" customFormat="1" ht="24" customHeight="1" x14ac:dyDescent="0.45">
      <c r="A26" s="72">
        <v>22</v>
      </c>
      <c r="B26" s="57" t="s">
        <v>473</v>
      </c>
      <c r="C26" s="57"/>
      <c r="D26" s="57"/>
      <c r="E26" s="57"/>
      <c r="F26" s="57"/>
      <c r="G26" s="57"/>
      <c r="H26" s="57"/>
      <c r="I26" s="57"/>
      <c r="J26" s="57"/>
      <c r="K26" s="57"/>
      <c r="L26" s="57"/>
      <c r="M26" s="56"/>
      <c r="N26" s="56"/>
      <c r="O26" s="56"/>
      <c r="P26" s="56"/>
      <c r="Q26" s="56"/>
      <c r="R26" s="56"/>
      <c r="S26" s="56"/>
      <c r="T26" s="56"/>
      <c r="U26" s="56"/>
      <c r="V26" s="56"/>
      <c r="W26" s="56"/>
      <c r="X26" s="58"/>
      <c r="Y26" s="56"/>
      <c r="Z26" s="56" t="s">
        <v>318</v>
      </c>
      <c r="AA26" s="76" t="s">
        <v>319</v>
      </c>
      <c r="AB26" s="72" t="s">
        <v>319</v>
      </c>
      <c r="AC26" s="56" t="s">
        <v>319</v>
      </c>
      <c r="AD26" s="56" t="s">
        <v>320</v>
      </c>
      <c r="AE26" s="56"/>
      <c r="AF26" s="56"/>
      <c r="AG26" s="56"/>
      <c r="AH26" s="56"/>
      <c r="AI26" s="57"/>
      <c r="AJ26" s="56"/>
      <c r="AK26" s="56"/>
      <c r="AL26" s="56"/>
      <c r="AM26" s="56"/>
      <c r="AN26" s="56"/>
      <c r="AO26" s="56"/>
      <c r="AP26" s="56"/>
      <c r="AQ26" s="56"/>
      <c r="AR26" s="56">
        <f t="shared" si="4"/>
        <v>1</v>
      </c>
      <c r="AS26" s="56">
        <f t="shared" si="5"/>
        <v>3</v>
      </c>
      <c r="AT26" s="56">
        <f t="shared" si="6"/>
        <v>1</v>
      </c>
      <c r="AU26" s="56" t="str">
        <f t="shared" si="7"/>
        <v/>
      </c>
      <c r="AV26" s="56">
        <f t="shared" si="10"/>
        <v>5</v>
      </c>
      <c r="AW26" s="56" t="s">
        <v>323</v>
      </c>
      <c r="AX26" s="56" t="s">
        <v>474</v>
      </c>
      <c r="AY26" s="59">
        <v>9068577835</v>
      </c>
      <c r="AZ26" s="56" t="s">
        <v>475</v>
      </c>
      <c r="BA26" s="59">
        <v>9016132846</v>
      </c>
      <c r="BB26" s="66" t="s">
        <v>326</v>
      </c>
      <c r="BC26" s="56"/>
      <c r="BD26" s="88"/>
      <c r="BE26" s="61"/>
      <c r="BF26" s="55"/>
    </row>
    <row r="27" spans="1:58" s="54" customFormat="1" ht="24" customHeight="1" x14ac:dyDescent="0.45">
      <c r="A27" s="72">
        <v>23</v>
      </c>
      <c r="B27" s="57" t="s">
        <v>523</v>
      </c>
      <c r="C27" s="57"/>
      <c r="D27" s="57"/>
      <c r="E27" s="57"/>
      <c r="F27" s="57"/>
      <c r="G27" s="57"/>
      <c r="H27" s="57"/>
      <c r="I27" s="57"/>
      <c r="J27" s="57"/>
      <c r="K27" s="57"/>
      <c r="L27" s="57"/>
      <c r="M27" s="56"/>
      <c r="N27" s="56"/>
      <c r="O27" s="56"/>
      <c r="P27" s="56"/>
      <c r="Q27" s="56"/>
      <c r="R27" s="56"/>
      <c r="S27" s="56"/>
      <c r="T27" s="56"/>
      <c r="U27" s="56"/>
      <c r="V27" s="56"/>
      <c r="W27" s="56"/>
      <c r="X27" s="58"/>
      <c r="Y27" s="56"/>
      <c r="Z27" s="56"/>
      <c r="AA27" s="72"/>
      <c r="AB27" s="72"/>
      <c r="AC27" s="56"/>
      <c r="AD27" s="56"/>
      <c r="AE27" s="56"/>
      <c r="AF27" s="56"/>
      <c r="AG27" s="56" t="s">
        <v>318</v>
      </c>
      <c r="AH27" s="56"/>
      <c r="AI27" s="57"/>
      <c r="AJ27" s="56"/>
      <c r="AK27" s="56"/>
      <c r="AL27" s="56"/>
      <c r="AM27" s="56"/>
      <c r="AN27" s="56"/>
      <c r="AO27" s="56"/>
      <c r="AP27" s="56"/>
      <c r="AQ27" s="56"/>
      <c r="AR27" s="56"/>
      <c r="AS27" s="56"/>
      <c r="AT27" s="56"/>
      <c r="AU27" s="56"/>
      <c r="AV27" s="56"/>
      <c r="AW27" s="56" t="s">
        <v>330</v>
      </c>
      <c r="AX27" s="56" t="s">
        <v>524</v>
      </c>
      <c r="AY27" s="59">
        <v>9050815586</v>
      </c>
      <c r="AZ27" s="56" t="s">
        <v>525</v>
      </c>
      <c r="BA27" s="59">
        <v>8064829140</v>
      </c>
      <c r="BB27" s="66"/>
      <c r="BC27" s="56">
        <v>4</v>
      </c>
      <c r="BD27" s="88"/>
      <c r="BE27" s="61"/>
      <c r="BF27" s="55"/>
    </row>
    <row r="28" spans="1:58" s="54" customFormat="1" ht="24" customHeight="1" x14ac:dyDescent="0.45">
      <c r="A28" s="72"/>
      <c r="B28" s="57"/>
      <c r="C28" s="57"/>
      <c r="D28" s="57"/>
      <c r="E28" s="57"/>
      <c r="F28" s="57"/>
      <c r="G28" s="57"/>
      <c r="H28" s="57"/>
      <c r="I28" s="57"/>
      <c r="J28" s="57"/>
      <c r="K28" s="57"/>
      <c r="L28" s="57"/>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t="str">
        <f t="shared" si="4"/>
        <v/>
      </c>
      <c r="AS28" s="56" t="str">
        <f t="shared" si="5"/>
        <v/>
      </c>
      <c r="AT28" s="56" t="str">
        <f t="shared" si="6"/>
        <v/>
      </c>
      <c r="AU28" s="56" t="str">
        <f t="shared" si="7"/>
        <v/>
      </c>
      <c r="AV28" s="56" t="str">
        <f t="shared" si="10"/>
        <v/>
      </c>
      <c r="AW28" s="56"/>
      <c r="AX28" s="56"/>
      <c r="AY28" s="59"/>
      <c r="AZ28" s="56"/>
      <c r="BA28" s="59"/>
      <c r="BB28" s="66"/>
      <c r="BC28" s="56"/>
      <c r="BD28" s="88"/>
      <c r="BE28" s="61"/>
      <c r="BF28" s="55"/>
    </row>
    <row r="29" spans="1:58" s="54" customFormat="1" ht="24" customHeight="1" x14ac:dyDescent="0.45">
      <c r="A29" s="72">
        <v>24</v>
      </c>
      <c r="B29" s="57" t="s">
        <v>387</v>
      </c>
      <c r="C29" s="57"/>
      <c r="D29" s="57"/>
      <c r="E29" s="57"/>
      <c r="F29" s="57"/>
      <c r="G29" s="57"/>
      <c r="H29" s="57"/>
      <c r="I29" s="57"/>
      <c r="J29" s="57"/>
      <c r="K29" s="57"/>
      <c r="L29" s="57"/>
      <c r="M29" s="56">
        <f t="shared" ref="M29:AQ29" si="20">COUNTIF(M5:M28,"朝")+COUNTIF(M5:M28,"昼")+COUNTIF(M5:M28,"夕")+COUNTIF(M5:M28,"お")+COUNTIF(M5:M28,"○")</f>
        <v>4</v>
      </c>
      <c r="N29" s="56">
        <f t="shared" si="20"/>
        <v>4</v>
      </c>
      <c r="O29" s="56">
        <f t="shared" si="20"/>
        <v>7</v>
      </c>
      <c r="P29" s="56">
        <f t="shared" si="20"/>
        <v>7</v>
      </c>
      <c r="Q29" s="56">
        <f t="shared" si="20"/>
        <v>7</v>
      </c>
      <c r="R29" s="56">
        <f t="shared" si="20"/>
        <v>7</v>
      </c>
      <c r="S29" s="56">
        <f t="shared" si="20"/>
        <v>6</v>
      </c>
      <c r="T29" s="56">
        <f t="shared" si="20"/>
        <v>6</v>
      </c>
      <c r="U29" s="56">
        <f t="shared" si="20"/>
        <v>6</v>
      </c>
      <c r="V29" s="56">
        <f t="shared" si="20"/>
        <v>6</v>
      </c>
      <c r="W29" s="56">
        <f t="shared" si="20"/>
        <v>4</v>
      </c>
      <c r="X29" s="56">
        <f t="shared" si="20"/>
        <v>5</v>
      </c>
      <c r="Y29" s="56">
        <f t="shared" si="20"/>
        <v>5</v>
      </c>
      <c r="Z29" s="56">
        <f t="shared" si="20"/>
        <v>8</v>
      </c>
      <c r="AA29" s="56">
        <f t="shared" si="20"/>
        <v>7</v>
      </c>
      <c r="AB29" s="56">
        <f t="shared" si="20"/>
        <v>8</v>
      </c>
      <c r="AC29" s="56">
        <f t="shared" si="20"/>
        <v>9</v>
      </c>
      <c r="AD29" s="56">
        <f t="shared" si="20"/>
        <v>7</v>
      </c>
      <c r="AE29" s="56">
        <f t="shared" si="20"/>
        <v>5</v>
      </c>
      <c r="AF29" s="56">
        <f t="shared" si="20"/>
        <v>5</v>
      </c>
      <c r="AG29" s="56">
        <f t="shared" si="20"/>
        <v>6</v>
      </c>
      <c r="AH29" s="56">
        <f t="shared" si="20"/>
        <v>5</v>
      </c>
      <c r="AI29" s="56">
        <f t="shared" si="20"/>
        <v>8</v>
      </c>
      <c r="AJ29" s="56">
        <f t="shared" si="20"/>
        <v>8</v>
      </c>
      <c r="AK29" s="56">
        <f t="shared" si="20"/>
        <v>7</v>
      </c>
      <c r="AL29" s="56">
        <f t="shared" si="20"/>
        <v>4</v>
      </c>
      <c r="AM29" s="56">
        <f t="shared" si="20"/>
        <v>4</v>
      </c>
      <c r="AN29" s="56">
        <f t="shared" si="20"/>
        <v>6</v>
      </c>
      <c r="AO29" s="56">
        <f t="shared" si="20"/>
        <v>6</v>
      </c>
      <c r="AP29" s="56">
        <f t="shared" si="20"/>
        <v>7</v>
      </c>
      <c r="AQ29" s="56">
        <f t="shared" si="20"/>
        <v>8</v>
      </c>
      <c r="AR29" s="56">
        <f>COUNTIF(AR6:AR28,"朝")+COUNTIF(AR6:AR28,"昼")+COUNTIF(AR6:AR28,"夕")+COUNTIF(AR6:AR28,"お")+COUNTIF(AR6:AR28,"○")</f>
        <v>0</v>
      </c>
      <c r="AS29" s="56">
        <f>COUNTIF(AS6:AS28,"朝")+COUNTIF(AS6:AS28,"昼")+COUNTIF(AS6:AS28,"夕")+COUNTIF(AS6:AS28,"お")+COUNTIF(AS6:AS28,"○")</f>
        <v>0</v>
      </c>
      <c r="AT29" s="56">
        <f>COUNTIF(AT6:AT28,"朝")+COUNTIF(AT6:AT28,"昼")+COUNTIF(AT6:AT28,"夕")+COUNTIF(AT6:AT28,"お")+COUNTIF(AT6:AT28,"○")</f>
        <v>0</v>
      </c>
      <c r="AU29" s="56">
        <f>COUNTIF(AU6:AU28,"朝")+COUNTIF(AU6:AU28,"昼")+COUNTIF(AU6:AU28,"夕")+COUNTIF(AU6:AU28,"お")+COUNTIF(AU6:AU28,"○")</f>
        <v>0</v>
      </c>
      <c r="AV29" s="56">
        <f>SUM(M29:AQ29)</f>
        <v>192</v>
      </c>
      <c r="AW29" s="56"/>
      <c r="AX29" s="63" t="s">
        <v>388</v>
      </c>
      <c r="AY29" s="56" t="s">
        <v>389</v>
      </c>
      <c r="AZ29" s="56"/>
      <c r="BA29" s="56"/>
      <c r="BB29" s="56"/>
      <c r="BC29" s="118" t="s">
        <v>390</v>
      </c>
      <c r="BD29" s="88"/>
      <c r="BE29" s="61"/>
      <c r="BF29" s="55"/>
    </row>
    <row r="30" spans="1:58" s="54" customFormat="1" ht="24" customHeight="1" x14ac:dyDescent="0.45">
      <c r="A30" s="72"/>
      <c r="B30" s="45" t="s">
        <v>391</v>
      </c>
      <c r="C30" s="57"/>
      <c r="D30" s="57"/>
      <c r="E30" s="57"/>
      <c r="F30" s="57"/>
      <c r="G30" s="57"/>
      <c r="H30" s="57"/>
      <c r="I30" s="57"/>
      <c r="J30" s="57"/>
      <c r="K30" s="57"/>
      <c r="L30" s="57"/>
      <c r="M30" s="56">
        <f>8-M29</f>
        <v>4</v>
      </c>
      <c r="N30" s="56">
        <f t="shared" ref="N30:AQ30" si="21">8-N29</f>
        <v>4</v>
      </c>
      <c r="O30" s="56">
        <f t="shared" si="21"/>
        <v>1</v>
      </c>
      <c r="P30" s="56">
        <f t="shared" si="21"/>
        <v>1</v>
      </c>
      <c r="Q30" s="56">
        <f t="shared" si="21"/>
        <v>1</v>
      </c>
      <c r="R30" s="56">
        <f t="shared" si="21"/>
        <v>1</v>
      </c>
      <c r="S30" s="56">
        <f t="shared" si="21"/>
        <v>2</v>
      </c>
      <c r="T30" s="56">
        <f t="shared" si="21"/>
        <v>2</v>
      </c>
      <c r="U30" s="56">
        <f t="shared" si="21"/>
        <v>2</v>
      </c>
      <c r="V30" s="56">
        <f t="shared" si="21"/>
        <v>2</v>
      </c>
      <c r="W30" s="56">
        <f t="shared" si="21"/>
        <v>4</v>
      </c>
      <c r="X30" s="56">
        <f t="shared" si="21"/>
        <v>3</v>
      </c>
      <c r="Y30" s="56">
        <f t="shared" si="21"/>
        <v>3</v>
      </c>
      <c r="Z30" s="56">
        <f t="shared" si="21"/>
        <v>0</v>
      </c>
      <c r="AA30" s="56">
        <f t="shared" si="21"/>
        <v>1</v>
      </c>
      <c r="AB30" s="56">
        <f t="shared" si="21"/>
        <v>0</v>
      </c>
      <c r="AC30" s="56">
        <f t="shared" si="21"/>
        <v>-1</v>
      </c>
      <c r="AD30" s="56">
        <f t="shared" si="21"/>
        <v>1</v>
      </c>
      <c r="AE30" s="56">
        <f t="shared" si="21"/>
        <v>3</v>
      </c>
      <c r="AF30" s="56">
        <f t="shared" si="21"/>
        <v>3</v>
      </c>
      <c r="AG30" s="56">
        <f t="shared" si="21"/>
        <v>2</v>
      </c>
      <c r="AH30" s="56">
        <f t="shared" si="21"/>
        <v>3</v>
      </c>
      <c r="AI30" s="56">
        <f t="shared" si="21"/>
        <v>0</v>
      </c>
      <c r="AJ30" s="56">
        <f t="shared" si="21"/>
        <v>0</v>
      </c>
      <c r="AK30" s="56">
        <f t="shared" si="21"/>
        <v>1</v>
      </c>
      <c r="AL30" s="56">
        <f t="shared" si="21"/>
        <v>4</v>
      </c>
      <c r="AM30" s="56">
        <f t="shared" si="21"/>
        <v>4</v>
      </c>
      <c r="AN30" s="56">
        <f t="shared" si="21"/>
        <v>2</v>
      </c>
      <c r="AO30" s="56">
        <f t="shared" si="21"/>
        <v>2</v>
      </c>
      <c r="AP30" s="56">
        <f t="shared" si="21"/>
        <v>1</v>
      </c>
      <c r="AQ30" s="56">
        <f t="shared" si="21"/>
        <v>0</v>
      </c>
      <c r="AR30" s="56"/>
      <c r="AS30" s="56"/>
      <c r="AT30" s="56"/>
      <c r="AU30" s="56"/>
      <c r="AV30" s="56">
        <f t="shared" ref="AV30" si="22">SUM(M30:AQ30)</f>
        <v>56</v>
      </c>
      <c r="AW30" s="56"/>
      <c r="AX30" s="63">
        <f>AVERAGE(M29:AQ29)</f>
        <v>6.193548387096774</v>
      </c>
      <c r="AY30" s="65">
        <f>8*365/12-AV29</f>
        <v>51.333333333333343</v>
      </c>
      <c r="AZ30" s="65"/>
      <c r="BA30" s="65"/>
      <c r="BB30" s="56"/>
      <c r="BC30" s="63">
        <f>AVERAGE(BC5:BC29)</f>
        <v>2.5909090909090908</v>
      </c>
      <c r="BD30" s="88"/>
      <c r="BE30" s="61"/>
      <c r="BF30" s="55"/>
    </row>
    <row r="31" spans="1:58" s="54" customFormat="1" ht="24" customHeight="1" x14ac:dyDescent="0.45">
      <c r="A31" s="72"/>
      <c r="B31" s="57" t="s">
        <v>392</v>
      </c>
      <c r="C31" s="57"/>
      <c r="D31" s="57"/>
      <c r="E31" s="57"/>
      <c r="F31" s="57"/>
      <c r="G31" s="57"/>
      <c r="H31" s="57"/>
      <c r="I31" s="57"/>
      <c r="J31" s="57"/>
      <c r="K31" s="57"/>
      <c r="L31" s="57"/>
      <c r="M31" s="56">
        <f t="shared" ref="M31:AQ31" si="23">COUNTIF(M5:M28,"昼")</f>
        <v>0</v>
      </c>
      <c r="N31" s="56">
        <f t="shared" si="23"/>
        <v>2</v>
      </c>
      <c r="O31" s="56">
        <f t="shared" si="23"/>
        <v>3</v>
      </c>
      <c r="P31" s="56">
        <f t="shared" si="23"/>
        <v>2</v>
      </c>
      <c r="Q31" s="56">
        <f t="shared" si="23"/>
        <v>2</v>
      </c>
      <c r="R31" s="56">
        <f t="shared" si="23"/>
        <v>1</v>
      </c>
      <c r="S31" s="56">
        <f t="shared" si="23"/>
        <v>1</v>
      </c>
      <c r="T31" s="56">
        <f t="shared" si="23"/>
        <v>1</v>
      </c>
      <c r="U31" s="56">
        <f t="shared" si="23"/>
        <v>2</v>
      </c>
      <c r="V31" s="56">
        <f t="shared" si="23"/>
        <v>1</v>
      </c>
      <c r="W31" s="56">
        <f t="shared" si="23"/>
        <v>0</v>
      </c>
      <c r="X31" s="56">
        <f t="shared" si="23"/>
        <v>1</v>
      </c>
      <c r="Y31" s="56">
        <f t="shared" si="23"/>
        <v>1</v>
      </c>
      <c r="Z31" s="56">
        <f t="shared" si="23"/>
        <v>3</v>
      </c>
      <c r="AA31" s="56">
        <f t="shared" si="23"/>
        <v>1</v>
      </c>
      <c r="AB31" s="56">
        <f t="shared" si="23"/>
        <v>3</v>
      </c>
      <c r="AC31" s="56">
        <f t="shared" si="23"/>
        <v>2</v>
      </c>
      <c r="AD31" s="56">
        <f t="shared" si="23"/>
        <v>1</v>
      </c>
      <c r="AE31" s="56">
        <f t="shared" si="23"/>
        <v>1</v>
      </c>
      <c r="AF31" s="56">
        <f t="shared" si="23"/>
        <v>1</v>
      </c>
      <c r="AG31" s="56">
        <f t="shared" si="23"/>
        <v>1</v>
      </c>
      <c r="AH31" s="56">
        <f t="shared" si="23"/>
        <v>2</v>
      </c>
      <c r="AI31" s="56">
        <f t="shared" si="23"/>
        <v>4</v>
      </c>
      <c r="AJ31" s="56">
        <f t="shared" si="23"/>
        <v>1</v>
      </c>
      <c r="AK31" s="56">
        <f t="shared" si="23"/>
        <v>1</v>
      </c>
      <c r="AL31" s="56">
        <f t="shared" si="23"/>
        <v>0</v>
      </c>
      <c r="AM31" s="56">
        <f t="shared" si="23"/>
        <v>1</v>
      </c>
      <c r="AN31" s="56">
        <f t="shared" si="23"/>
        <v>2</v>
      </c>
      <c r="AO31" s="56">
        <f t="shared" si="23"/>
        <v>1</v>
      </c>
      <c r="AP31" s="56">
        <f t="shared" si="23"/>
        <v>2</v>
      </c>
      <c r="AQ31" s="56">
        <f t="shared" si="23"/>
        <v>2</v>
      </c>
      <c r="AR31" s="56">
        <f>COUNTIF(AR5:AR5,"昼")</f>
        <v>0</v>
      </c>
      <c r="AS31" s="56">
        <f>COUNTIF(AS5:AS5,"昼")</f>
        <v>0</v>
      </c>
      <c r="AT31" s="56">
        <f>COUNTIF(AT5:AT5,"昼")</f>
        <v>0</v>
      </c>
      <c r="AU31" s="56">
        <f>COUNTIF(AU5:AU5,"昼")</f>
        <v>0</v>
      </c>
      <c r="AV31" s="56">
        <f t="shared" ref="AV31:AV33" si="24">SUM(M31:AQ31)</f>
        <v>46</v>
      </c>
      <c r="AW31" s="56"/>
      <c r="AX31" s="56"/>
      <c r="AY31" s="56" t="s">
        <v>393</v>
      </c>
      <c r="AZ31" s="56"/>
      <c r="BA31" s="56"/>
      <c r="BB31" s="66"/>
      <c r="BC31" s="66"/>
      <c r="BD31" s="88"/>
      <c r="BE31" s="61"/>
      <c r="BF31" s="55"/>
    </row>
    <row r="32" spans="1:58" s="54" customFormat="1" ht="24" customHeight="1" x14ac:dyDescent="0.45">
      <c r="A32" s="72"/>
      <c r="B32" s="57" t="s">
        <v>394</v>
      </c>
      <c r="C32" s="57"/>
      <c r="D32" s="57"/>
      <c r="E32" s="57"/>
      <c r="F32" s="57"/>
      <c r="G32" s="57"/>
      <c r="H32" s="57"/>
      <c r="I32" s="57"/>
      <c r="J32" s="57"/>
      <c r="K32" s="57"/>
      <c r="L32" s="57"/>
      <c r="M32" s="56">
        <f t="shared" ref="M32:AQ32" si="25">COUNTIF(M5:M29,"お")</f>
        <v>2</v>
      </c>
      <c r="N32" s="56">
        <f t="shared" si="25"/>
        <v>0</v>
      </c>
      <c r="O32" s="56">
        <f t="shared" si="25"/>
        <v>1</v>
      </c>
      <c r="P32" s="56">
        <f t="shared" si="25"/>
        <v>2</v>
      </c>
      <c r="Q32" s="56">
        <f t="shared" si="25"/>
        <v>1</v>
      </c>
      <c r="R32" s="56">
        <f t="shared" si="25"/>
        <v>2</v>
      </c>
      <c r="S32" s="56">
        <f t="shared" si="25"/>
        <v>0</v>
      </c>
      <c r="T32" s="56">
        <f t="shared" si="25"/>
        <v>2</v>
      </c>
      <c r="U32" s="56">
        <f t="shared" si="25"/>
        <v>0</v>
      </c>
      <c r="V32" s="56">
        <f t="shared" si="25"/>
        <v>1</v>
      </c>
      <c r="W32" s="56">
        <f t="shared" si="25"/>
        <v>0</v>
      </c>
      <c r="X32" s="56">
        <f t="shared" si="25"/>
        <v>1</v>
      </c>
      <c r="Y32" s="56">
        <f t="shared" si="25"/>
        <v>0</v>
      </c>
      <c r="Z32" s="56">
        <f t="shared" si="25"/>
        <v>1</v>
      </c>
      <c r="AA32" s="56">
        <f t="shared" si="25"/>
        <v>2</v>
      </c>
      <c r="AB32" s="56">
        <f t="shared" si="25"/>
        <v>0</v>
      </c>
      <c r="AC32" s="56">
        <f t="shared" si="25"/>
        <v>2</v>
      </c>
      <c r="AD32" s="56">
        <f t="shared" si="25"/>
        <v>2</v>
      </c>
      <c r="AE32" s="56">
        <f t="shared" si="25"/>
        <v>1</v>
      </c>
      <c r="AF32" s="56">
        <f t="shared" si="25"/>
        <v>0</v>
      </c>
      <c r="AG32" s="56">
        <f t="shared" si="25"/>
        <v>0</v>
      </c>
      <c r="AH32" s="56">
        <f t="shared" si="25"/>
        <v>1</v>
      </c>
      <c r="AI32" s="56">
        <f t="shared" si="25"/>
        <v>1</v>
      </c>
      <c r="AJ32" s="56">
        <f t="shared" si="25"/>
        <v>1</v>
      </c>
      <c r="AK32" s="56">
        <f t="shared" si="25"/>
        <v>2</v>
      </c>
      <c r="AL32" s="56">
        <f t="shared" si="25"/>
        <v>1</v>
      </c>
      <c r="AM32" s="56">
        <f t="shared" si="25"/>
        <v>0</v>
      </c>
      <c r="AN32" s="56">
        <f t="shared" si="25"/>
        <v>1</v>
      </c>
      <c r="AO32" s="56">
        <f t="shared" si="25"/>
        <v>0</v>
      </c>
      <c r="AP32" s="56">
        <f t="shared" si="25"/>
        <v>0</v>
      </c>
      <c r="AQ32" s="56">
        <f t="shared" si="25"/>
        <v>2</v>
      </c>
      <c r="AR32" s="56">
        <f>COUNTIF(AR5:AR28,"お")</f>
        <v>0</v>
      </c>
      <c r="AS32" s="56">
        <f>COUNTIF(AS5:AS28,"お")</f>
        <v>0</v>
      </c>
      <c r="AT32" s="56">
        <f>COUNTIF(AT5:AT28,"お")</f>
        <v>0</v>
      </c>
      <c r="AU32" s="56">
        <f>COUNTIF(AU5:AU28,"お")</f>
        <v>0</v>
      </c>
      <c r="AV32" s="56">
        <f t="shared" si="24"/>
        <v>29</v>
      </c>
      <c r="AW32" s="56"/>
      <c r="AX32" s="56"/>
      <c r="AY32" s="56"/>
      <c r="AZ32" s="56"/>
      <c r="BA32" s="56"/>
      <c r="BB32" s="66"/>
      <c r="BC32" s="66"/>
      <c r="BD32" s="88"/>
      <c r="BE32" s="61"/>
      <c r="BF32" s="55"/>
    </row>
    <row r="33" spans="1:58" s="54" customFormat="1" ht="24" customHeight="1" x14ac:dyDescent="0.45">
      <c r="A33" s="72"/>
      <c r="B33" s="57" t="s">
        <v>395</v>
      </c>
      <c r="C33" s="57"/>
      <c r="D33" s="57"/>
      <c r="E33" s="57"/>
      <c r="F33" s="57"/>
      <c r="G33" s="57"/>
      <c r="H33" s="57"/>
      <c r="I33" s="57"/>
      <c r="J33" s="57"/>
      <c r="K33" s="57"/>
      <c r="L33" s="57"/>
      <c r="M33" s="56">
        <f t="shared" ref="M33:AQ33" si="26">COUNTIF(M5:M28,"お")+COUNTIF(M5:M28,"夕")</f>
        <v>2</v>
      </c>
      <c r="N33" s="56">
        <f t="shared" si="26"/>
        <v>0</v>
      </c>
      <c r="O33" s="56">
        <f t="shared" si="26"/>
        <v>2</v>
      </c>
      <c r="P33" s="56">
        <f t="shared" si="26"/>
        <v>2</v>
      </c>
      <c r="Q33" s="56">
        <f t="shared" si="26"/>
        <v>1</v>
      </c>
      <c r="R33" s="56">
        <f t="shared" si="26"/>
        <v>2</v>
      </c>
      <c r="S33" s="56">
        <f t="shared" si="26"/>
        <v>1</v>
      </c>
      <c r="T33" s="56">
        <f t="shared" si="26"/>
        <v>2</v>
      </c>
      <c r="U33" s="56">
        <f t="shared" si="26"/>
        <v>1</v>
      </c>
      <c r="V33" s="56">
        <f t="shared" si="26"/>
        <v>2</v>
      </c>
      <c r="W33" s="56">
        <f t="shared" si="26"/>
        <v>0</v>
      </c>
      <c r="X33" s="56">
        <f t="shared" si="26"/>
        <v>1</v>
      </c>
      <c r="Y33" s="56">
        <f t="shared" si="26"/>
        <v>0</v>
      </c>
      <c r="Z33" s="56">
        <f t="shared" si="26"/>
        <v>2</v>
      </c>
      <c r="AA33" s="56">
        <f t="shared" si="26"/>
        <v>2</v>
      </c>
      <c r="AB33" s="56">
        <f t="shared" si="26"/>
        <v>1</v>
      </c>
      <c r="AC33" s="56">
        <f t="shared" si="26"/>
        <v>3</v>
      </c>
      <c r="AD33" s="56">
        <f t="shared" si="26"/>
        <v>3</v>
      </c>
      <c r="AE33" s="56">
        <f t="shared" si="26"/>
        <v>1</v>
      </c>
      <c r="AF33" s="56">
        <f t="shared" si="26"/>
        <v>0</v>
      </c>
      <c r="AG33" s="56">
        <f t="shared" si="26"/>
        <v>2</v>
      </c>
      <c r="AH33" s="56">
        <f t="shared" si="26"/>
        <v>1</v>
      </c>
      <c r="AI33" s="56">
        <f t="shared" si="26"/>
        <v>1</v>
      </c>
      <c r="AJ33" s="56">
        <f t="shared" si="26"/>
        <v>2</v>
      </c>
      <c r="AK33" s="56">
        <f t="shared" si="26"/>
        <v>3</v>
      </c>
      <c r="AL33" s="56">
        <f t="shared" si="26"/>
        <v>1</v>
      </c>
      <c r="AM33" s="56">
        <f t="shared" si="26"/>
        <v>0</v>
      </c>
      <c r="AN33" s="56">
        <f t="shared" si="26"/>
        <v>1</v>
      </c>
      <c r="AO33" s="56">
        <f t="shared" si="26"/>
        <v>1</v>
      </c>
      <c r="AP33" s="56">
        <f t="shared" si="26"/>
        <v>1</v>
      </c>
      <c r="AQ33" s="56">
        <f t="shared" si="26"/>
        <v>3</v>
      </c>
      <c r="AR33" s="56">
        <f>COUNTIF(AR5:AR5,"お")+COUNTIF(AR5:AR5,"夕")</f>
        <v>0</v>
      </c>
      <c r="AS33" s="56">
        <f>COUNTIF(AS5:AS5,"お")+COUNTIF(AS5:AS5,"夕")</f>
        <v>0</v>
      </c>
      <c r="AT33" s="56">
        <f>COUNTIF(AT5:AT5,"お")+COUNTIF(AT5:AT5,"夕")</f>
        <v>0</v>
      </c>
      <c r="AU33" s="56">
        <f>COUNTIF(AU5:AU5,"お")+COUNTIF(AU5:AU5,"夕")</f>
        <v>0</v>
      </c>
      <c r="AV33" s="56">
        <f t="shared" si="24"/>
        <v>44</v>
      </c>
      <c r="AW33" s="56"/>
      <c r="AX33" s="56"/>
      <c r="AY33" s="56"/>
      <c r="AZ33" s="56"/>
      <c r="BA33" s="56"/>
      <c r="BB33" s="66"/>
      <c r="BC33" s="66"/>
      <c r="BD33" s="67"/>
      <c r="BE33" s="61"/>
      <c r="BF33" s="55"/>
    </row>
    <row r="34" spans="1:58" s="54" customFormat="1" ht="24" customHeight="1" x14ac:dyDescent="0.45">
      <c r="A34" s="72"/>
      <c r="BB34" s="69"/>
      <c r="BC34" s="115"/>
      <c r="BD34" s="67"/>
      <c r="BE34" s="61"/>
      <c r="BF34" s="55"/>
    </row>
    <row r="35" spans="1:58" s="54" customFormat="1" ht="24" customHeight="1" x14ac:dyDescent="0.45">
      <c r="A35" s="72"/>
      <c r="BB35" s="69" t="s">
        <v>396</v>
      </c>
      <c r="BC35" s="115"/>
      <c r="BD35" s="88"/>
      <c r="BE35" s="61"/>
      <c r="BF35" s="55"/>
    </row>
    <row r="36" spans="1:58" s="54" customFormat="1" ht="24" customHeight="1" x14ac:dyDescent="0.45">
      <c r="A36" s="72"/>
      <c r="BB36" s="69"/>
      <c r="BC36" s="115"/>
      <c r="BD36" s="88"/>
      <c r="BE36" s="61"/>
      <c r="BF36" s="55"/>
    </row>
    <row r="37" spans="1:58" s="54" customFormat="1" ht="24" customHeight="1" x14ac:dyDescent="0.45">
      <c r="A37" s="72"/>
      <c r="BB37" s="69"/>
      <c r="BC37" s="115"/>
      <c r="BD37" s="88"/>
      <c r="BE37" s="61"/>
      <c r="BF37" s="55"/>
    </row>
    <row r="38" spans="1:58" s="54" customFormat="1" ht="24" customHeight="1" x14ac:dyDescent="0.45">
      <c r="A38" s="7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70"/>
      <c r="BC38" s="116"/>
      <c r="BD38" s="69"/>
      <c r="BE38" s="61"/>
      <c r="BF38" s="55"/>
    </row>
    <row r="39" spans="1:58" s="54" customFormat="1" ht="24" customHeight="1" x14ac:dyDescent="0.45">
      <c r="A39" s="7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70"/>
      <c r="BC39" s="116"/>
      <c r="BD39" s="69"/>
      <c r="BE39" s="55"/>
    </row>
    <row r="40" spans="1:58" s="54" customFormat="1" ht="24" customHeight="1" x14ac:dyDescent="0.45">
      <c r="A40" s="72"/>
      <c r="B40" s="57" t="s">
        <v>397</v>
      </c>
      <c r="C40" s="57"/>
      <c r="D40" s="57"/>
      <c r="E40" s="57"/>
      <c r="F40" s="57"/>
      <c r="G40" s="57"/>
      <c r="H40" s="57"/>
      <c r="I40" s="57"/>
      <c r="J40" s="57" t="str">
        <f t="shared" ref="J40:J41" si="27">IF(COUNTA(C40:I40)=0,"",COUNTA(C40:I40))</f>
        <v/>
      </c>
      <c r="K40" s="57"/>
      <c r="L40" s="57"/>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t="str">
        <f t="shared" ref="AR40:AR41" si="28">IF(COUNTIF($M40:$AQ40,"昼")=0,"",COUNTIF($M40:$AQ40,"昼"))</f>
        <v/>
      </c>
      <c r="AS40" s="56" t="str">
        <f t="shared" ref="AS40:AS41" si="29">IF(COUNTIF($M40:$AQ40,"○")=0,"",COUNTIF($M40:$AQ40,"○"))</f>
        <v/>
      </c>
      <c r="AT40" s="56" t="str">
        <f t="shared" ref="AT40:AT41" si="30">IF(COUNTIF($M40:$AQ40,"お")=0,"",COUNTIF($M40:$AQ40,"お"))</f>
        <v/>
      </c>
      <c r="AU40" s="56" t="str">
        <f t="shared" ref="AU40:AU41" si="31">IF(COUNTIF($M40:$AQ40,"夕")=0,"",COUNTIF($M40:$AQ40,"夕"))</f>
        <v/>
      </c>
      <c r="AV40" s="56" t="str">
        <f t="shared" ref="AV40:AV41" si="32">IF(COUNTA(M40:AQ40)=0,"",SUM(AR40:AU40))</f>
        <v/>
      </c>
      <c r="AW40" s="56"/>
      <c r="AX40" s="56" t="s">
        <v>398</v>
      </c>
      <c r="AY40" s="59">
        <v>9068599322</v>
      </c>
      <c r="AZ40" s="59"/>
      <c r="BA40" s="59"/>
      <c r="BB40" s="66"/>
      <c r="BC40" s="66"/>
      <c r="BD40" s="69"/>
      <c r="BE40" s="53"/>
      <c r="BF40" s="55" t="s">
        <v>401</v>
      </c>
    </row>
    <row r="41" spans="1:58" s="54" customFormat="1" ht="24" customHeight="1" x14ac:dyDescent="0.45">
      <c r="A41" s="73"/>
      <c r="B41" s="57" t="s">
        <v>399</v>
      </c>
      <c r="C41" s="57"/>
      <c r="D41" s="57"/>
      <c r="E41" s="57"/>
      <c r="F41" s="57"/>
      <c r="G41" s="57"/>
      <c r="H41" s="57"/>
      <c r="I41" s="57"/>
      <c r="J41" s="57" t="str">
        <f t="shared" si="27"/>
        <v/>
      </c>
      <c r="K41" s="57"/>
      <c r="L41" s="57"/>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t="str">
        <f t="shared" si="28"/>
        <v/>
      </c>
      <c r="AS41" s="56" t="str">
        <f t="shared" si="29"/>
        <v/>
      </c>
      <c r="AT41" s="56" t="str">
        <f t="shared" si="30"/>
        <v/>
      </c>
      <c r="AU41" s="56" t="str">
        <f t="shared" si="31"/>
        <v/>
      </c>
      <c r="AV41" s="56" t="str">
        <f t="shared" si="32"/>
        <v/>
      </c>
      <c r="AW41" s="56"/>
      <c r="AX41" s="56" t="s">
        <v>400</v>
      </c>
      <c r="AY41" s="59">
        <v>8046668865</v>
      </c>
      <c r="AZ41" s="59"/>
      <c r="BA41" s="59"/>
      <c r="BB41" s="66"/>
      <c r="BC41" s="66"/>
      <c r="BD41" s="69"/>
      <c r="BE41" s="53"/>
      <c r="BF41" s="55"/>
    </row>
    <row r="42" spans="1:58" s="54" customFormat="1" ht="24" customHeight="1" x14ac:dyDescent="0.45">
      <c r="A42" s="53"/>
      <c r="B42" s="57" t="s">
        <v>354</v>
      </c>
      <c r="C42" s="57"/>
      <c r="D42" s="57"/>
      <c r="E42" s="57"/>
      <c r="F42" s="57"/>
      <c r="G42" s="57"/>
      <c r="H42" s="57"/>
      <c r="I42" s="57"/>
      <c r="J42" s="57"/>
      <c r="K42" s="57"/>
      <c r="L42" s="57"/>
      <c r="M42" s="56"/>
      <c r="N42" s="56"/>
      <c r="O42" s="56"/>
      <c r="P42" s="56"/>
      <c r="Q42" s="56"/>
      <c r="R42" s="56"/>
      <c r="S42" s="56"/>
      <c r="T42" s="56"/>
      <c r="U42" s="56"/>
      <c r="V42" s="56"/>
      <c r="W42" s="56"/>
      <c r="X42" s="56"/>
      <c r="Y42" s="56"/>
      <c r="Z42" s="56"/>
      <c r="AA42" s="56" t="s">
        <v>352</v>
      </c>
      <c r="AB42" s="56" t="s">
        <v>320</v>
      </c>
      <c r="AC42" s="56"/>
      <c r="AD42" s="56"/>
      <c r="AE42" s="58"/>
      <c r="AF42" s="56"/>
      <c r="AG42" s="56"/>
      <c r="AH42" s="56"/>
      <c r="AI42" s="56"/>
      <c r="AJ42" s="56"/>
      <c r="AK42" s="56"/>
      <c r="AL42" s="56"/>
      <c r="AM42" s="56"/>
      <c r="AN42" s="56"/>
      <c r="AO42" s="56"/>
      <c r="AP42" s="56"/>
      <c r="AQ42" s="56"/>
      <c r="AR42" s="56"/>
      <c r="AS42" s="56"/>
      <c r="AT42" s="56"/>
      <c r="AU42" s="56"/>
      <c r="AV42" s="56"/>
      <c r="AW42" s="56">
        <v>223</v>
      </c>
      <c r="AX42" s="56" t="s">
        <v>355</v>
      </c>
      <c r="AY42" s="59">
        <v>9094067262</v>
      </c>
      <c r="AZ42" s="56" t="s">
        <v>356</v>
      </c>
      <c r="BA42" s="59">
        <v>7012498633</v>
      </c>
      <c r="BB42" s="66" t="s">
        <v>326</v>
      </c>
      <c r="BC42" s="56">
        <v>2</v>
      </c>
      <c r="BD42" s="70"/>
      <c r="BE42" s="53"/>
      <c r="BF42" s="55"/>
    </row>
    <row r="43" spans="1:58" s="54" customFormat="1" ht="24" customHeight="1" x14ac:dyDescent="0.45">
      <c r="A43" s="53"/>
      <c r="B43" s="57" t="s">
        <v>376</v>
      </c>
      <c r="C43" s="57"/>
      <c r="D43" s="57"/>
      <c r="E43" s="57"/>
      <c r="F43" s="57"/>
      <c r="G43" s="57"/>
      <c r="H43" s="57"/>
      <c r="I43" s="57"/>
      <c r="J43" s="57"/>
      <c r="K43" s="57"/>
      <c r="L43" s="57"/>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t="s">
        <v>377</v>
      </c>
      <c r="AY43" s="59">
        <v>9075866267</v>
      </c>
      <c r="AZ43" s="56" t="s">
        <v>336</v>
      </c>
      <c r="BA43" s="59">
        <v>8039162381</v>
      </c>
      <c r="BB43" s="66" t="s">
        <v>347</v>
      </c>
      <c r="BC43" s="56">
        <v>3</v>
      </c>
      <c r="BD43" s="88"/>
      <c r="BE43" s="53"/>
      <c r="BF43" s="55"/>
    </row>
    <row r="44" spans="1:58" s="54" customFormat="1" ht="24" customHeight="1" x14ac:dyDescent="0.45">
      <c r="A44" s="53"/>
      <c r="B44" s="57" t="s">
        <v>367</v>
      </c>
      <c r="C44" s="57"/>
      <c r="D44" s="57"/>
      <c r="E44" s="57"/>
      <c r="F44" s="57"/>
      <c r="G44" s="57"/>
      <c r="H44" s="57"/>
      <c r="I44" s="57"/>
      <c r="J44" s="57"/>
      <c r="K44" s="57"/>
      <c r="L44" s="57"/>
      <c r="M44" s="56"/>
      <c r="N44" s="56"/>
      <c r="O44" s="56"/>
      <c r="P44" s="58"/>
      <c r="Q44" s="56"/>
      <c r="R44" s="56"/>
      <c r="S44" s="56"/>
      <c r="T44" s="56"/>
      <c r="U44" s="56"/>
      <c r="V44" s="56"/>
      <c r="W44" s="58"/>
      <c r="X44" s="56"/>
      <c r="Y44" s="56"/>
      <c r="Z44" s="56"/>
      <c r="AA44" s="56"/>
      <c r="AB44" s="56"/>
      <c r="AC44" s="56"/>
      <c r="AD44" s="58"/>
      <c r="AE44" s="58"/>
      <c r="AF44" s="56"/>
      <c r="AG44" s="56"/>
      <c r="AH44" s="56"/>
      <c r="AI44" s="56"/>
      <c r="AJ44" s="56"/>
      <c r="AK44" s="56"/>
      <c r="AL44" s="56"/>
      <c r="AM44" s="56"/>
      <c r="AN44" s="56"/>
      <c r="AO44" s="56"/>
      <c r="AP44" s="56"/>
      <c r="AQ44" s="56"/>
      <c r="AR44" s="56"/>
      <c r="AS44" s="56"/>
      <c r="AT44" s="56"/>
      <c r="AU44" s="56"/>
      <c r="AV44" s="56"/>
      <c r="AW44" s="56">
        <v>223</v>
      </c>
      <c r="AX44" s="56" t="s">
        <v>356</v>
      </c>
      <c r="AY44" s="59">
        <v>7012498633</v>
      </c>
      <c r="AZ44" s="56" t="s">
        <v>402</v>
      </c>
      <c r="BA44" s="59">
        <v>9057498087</v>
      </c>
      <c r="BB44" s="66" t="s">
        <v>326</v>
      </c>
      <c r="BC44" s="115"/>
      <c r="BD44" s="88"/>
      <c r="BE44" s="53"/>
      <c r="BF44" s="55"/>
    </row>
    <row r="45" spans="1:58" s="54" customFormat="1" ht="24" customHeight="1" x14ac:dyDescent="0.45">
      <c r="A45" s="48"/>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70"/>
      <c r="BC45" s="116"/>
      <c r="BD45" s="88"/>
      <c r="BE45" s="53"/>
      <c r="BF45" s="55"/>
    </row>
    <row r="46" spans="1:58" s="54" customFormat="1" ht="26.4" customHeight="1" x14ac:dyDescent="0.45">
      <c r="A46" s="48"/>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88"/>
      <c r="BE46" s="53"/>
      <c r="BF46" s="55"/>
    </row>
    <row r="47" spans="1:58" s="54" customFormat="1" ht="26.4" customHeight="1" x14ac:dyDescent="0.45">
      <c r="A47" s="72">
        <v>18</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88"/>
    </row>
    <row r="48" spans="1:58" s="54" customFormat="1" ht="26.4" customHeight="1" x14ac:dyDescent="0.45">
      <c r="A48" s="72">
        <v>19</v>
      </c>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row>
    <row r="49" spans="1:58" s="54" customFormat="1" ht="26.4" customHeight="1" x14ac:dyDescent="0.45">
      <c r="A49" s="72">
        <v>20</v>
      </c>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0" spans="1:58" s="54" customFormat="1" ht="26.4" customHeight="1" x14ac:dyDescent="0.45">
      <c r="A50" s="72">
        <v>21</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6.4" customHeight="1" x14ac:dyDescent="0.45">
      <c r="A51" s="72">
        <v>22</v>
      </c>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2" spans="1:58" s="54" customFormat="1" ht="21.6" x14ac:dyDescent="0.45">
      <c r="A52" s="72">
        <v>23</v>
      </c>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row>
    <row r="53" spans="1:58" s="54" customFormat="1" ht="21.6"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row>
    <row r="54" spans="1:58" s="54" customFormat="1" ht="21.6"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row>
    <row r="55" spans="1:58" s="54" customFormat="1" ht="21.6" x14ac:dyDescent="0.45">
      <c r="A55" s="48"/>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row>
    <row r="57" spans="1:58" s="54" customFormat="1" ht="26.4" customHeight="1"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c r="BF57" s="55"/>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row r="59" spans="1:58" s="54" customFormat="1" ht="26.4" customHeight="1" x14ac:dyDescent="0.45">
      <c r="A59" s="48"/>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70"/>
      <c r="BC59" s="116"/>
      <c r="BD59" s="70"/>
      <c r="BE59" s="53"/>
      <c r="BF59" s="55"/>
    </row>
    <row r="60" spans="1:58" s="54" customFormat="1" ht="26.4" customHeight="1" x14ac:dyDescent="0.45">
      <c r="A60" s="48"/>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70"/>
      <c r="BC60" s="116"/>
      <c r="BD60" s="70"/>
      <c r="BE60" s="53"/>
      <c r="BF60" s="55"/>
    </row>
    <row r="61" spans="1:58" s="54" customFormat="1" ht="26.4" customHeight="1" x14ac:dyDescent="0.45">
      <c r="A61" s="48"/>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70"/>
      <c r="BC61" s="116"/>
      <c r="BD61" s="70"/>
      <c r="BE61" s="53"/>
      <c r="BF61" s="55"/>
    </row>
    <row r="62" spans="1:58" s="54" customFormat="1" ht="26.4" customHeight="1" x14ac:dyDescent="0.45">
      <c r="A62" s="48"/>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70"/>
      <c r="BC62" s="116"/>
      <c r="BD62" s="70"/>
      <c r="BE62" s="53"/>
      <c r="BF62" s="55"/>
    </row>
  </sheetData>
  <mergeCells count="19">
    <mergeCell ref="BD3:BD4"/>
    <mergeCell ref="AX3:AX4"/>
    <mergeCell ref="AY3:AY4"/>
    <mergeCell ref="AZ3:AZ4"/>
    <mergeCell ref="BA3:BA4"/>
    <mergeCell ref="BB3:BB4"/>
    <mergeCell ref="BC3:BC4"/>
    <mergeCell ref="A3:A4"/>
    <mergeCell ref="B3:B4"/>
    <mergeCell ref="C3:J4"/>
    <mergeCell ref="K3:L4"/>
    <mergeCell ref="AV3:AV4"/>
    <mergeCell ref="AW3:AW4"/>
    <mergeCell ref="P1:R2"/>
    <mergeCell ref="S1:S2"/>
    <mergeCell ref="T1:U2"/>
    <mergeCell ref="V1:AN2"/>
    <mergeCell ref="AQ1:AV1"/>
    <mergeCell ref="AO2:AV2"/>
  </mergeCells>
  <phoneticPr fontId="1"/>
  <conditionalFormatting sqref="M9:AJ9 AL9:AQ9">
    <cfRule type="cellIs" dxfId="68" priority="13" operator="equal">
      <formula>"""夕"""</formula>
    </cfRule>
  </conditionalFormatting>
  <conditionalFormatting sqref="M4:AU4">
    <cfRule type="cellIs" dxfId="67" priority="16" operator="equal">
      <formula>"土"</formula>
    </cfRule>
    <cfRule type="cellIs" dxfId="66" priority="17" operator="equal">
      <formula>"日"</formula>
    </cfRule>
  </conditionalFormatting>
  <conditionalFormatting sqref="M29:AU29">
    <cfRule type="cellIs" dxfId="65" priority="14" operator="greaterThan">
      <formula>7</formula>
    </cfRule>
    <cfRule type="cellIs" dxfId="64" priority="15" operator="greaterThan">
      <formula>6</formula>
    </cfRule>
  </conditionalFormatting>
  <conditionalFormatting sqref="M5:AW5 M6:AQ8 M9:AJ9 AL9:AQ9">
    <cfRule type="cellIs" dxfId="63" priority="11" operator="equal">
      <formula>"お"</formula>
    </cfRule>
    <cfRule type="cellIs" dxfId="62" priority="12" operator="equal">
      <formula>"夕"</formula>
    </cfRule>
  </conditionalFormatting>
  <conditionalFormatting sqref="M26:AW28">
    <cfRule type="cellIs" dxfId="61" priority="1" operator="equal">
      <formula>"お"</formula>
    </cfRule>
    <cfRule type="cellIs" dxfId="60" priority="2" operator="equal">
      <formula>"夕"</formula>
    </cfRule>
  </conditionalFormatting>
  <conditionalFormatting sqref="M40:AW44">
    <cfRule type="cellIs" dxfId="59" priority="9" operator="equal">
      <formula>"お"</formula>
    </cfRule>
    <cfRule type="cellIs" dxfId="58" priority="10" operator="equal">
      <formula>"夕"</formula>
    </cfRule>
  </conditionalFormatting>
  <conditionalFormatting sqref="AR6:AW25 M10:AK10 AM10:AQ10 M11:AQ25">
    <cfRule type="cellIs" dxfId="57" priority="5" operator="equal">
      <formula>"お"</formula>
    </cfRule>
    <cfRule type="cellIs" dxfId="56" priority="6"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BBD4-26C3-4839-BD23-A54FCD469253}">
  <dimension ref="A1:BF66"/>
  <sheetViews>
    <sheetView zoomScale="70" zoomScaleNormal="70" workbookViewId="0">
      <pane ySplit="4" topLeftCell="A5" activePane="bottomLeft" state="frozen"/>
      <selection pane="bottomLeft" activeCell="T15" sqref="T15"/>
    </sheetView>
  </sheetViews>
  <sheetFormatPr defaultColWidth="8.69921875" defaultRowHeight="18" x14ac:dyDescent="0.45"/>
  <cols>
    <col min="1" max="1" width="4.69921875" style="48" customWidth="1"/>
    <col min="2" max="2" width="17.89843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19.59765625" style="32" customWidth="1"/>
    <col min="51" max="51" width="19.8984375"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6</v>
      </c>
      <c r="U1" s="172"/>
      <c r="V1" s="172" t="s">
        <v>305</v>
      </c>
      <c r="W1" s="172"/>
      <c r="X1" s="172"/>
      <c r="Y1" s="172"/>
      <c r="Z1" s="172"/>
      <c r="AA1" s="172"/>
      <c r="AB1" s="172"/>
      <c r="AC1" s="172"/>
      <c r="AD1" s="172"/>
      <c r="AE1" s="172"/>
      <c r="AF1" s="172"/>
      <c r="AG1" s="172"/>
      <c r="AH1" s="172"/>
      <c r="AI1" s="172"/>
      <c r="AJ1" s="172"/>
      <c r="AK1" s="172"/>
      <c r="AL1" s="172"/>
      <c r="AM1" s="172"/>
      <c r="AN1" s="172"/>
      <c r="AO1" s="154"/>
      <c r="AP1" s="148"/>
      <c r="AQ1" s="175" t="s">
        <v>306</v>
      </c>
      <c r="AR1" s="175"/>
      <c r="AS1" s="175"/>
      <c r="AT1" s="175"/>
      <c r="AU1" s="175"/>
      <c r="AV1" s="175"/>
      <c r="AW1" s="156"/>
      <c r="BE1" s="32"/>
    </row>
    <row r="2" spans="1:58" s="46" customFormat="1" ht="24.6" customHeight="1" x14ac:dyDescent="0.55000000000000004">
      <c r="A2" s="155"/>
      <c r="B2" s="47"/>
      <c r="C2" s="47"/>
      <c r="D2" s="47"/>
      <c r="E2" s="47"/>
      <c r="F2" s="47"/>
      <c r="G2" s="47"/>
      <c r="H2" s="47"/>
      <c r="I2" s="47"/>
      <c r="J2" s="47"/>
      <c r="K2" s="47"/>
      <c r="L2" s="47"/>
      <c r="M2" s="47"/>
      <c r="N2" s="47"/>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149" t="s">
        <v>308</v>
      </c>
      <c r="AX2" s="150"/>
      <c r="AY2" s="150"/>
      <c r="AZ2" s="150"/>
      <c r="BA2" s="151"/>
      <c r="BB2" s="152"/>
      <c r="BC2" s="151"/>
      <c r="BD2" s="155"/>
    </row>
    <row r="3" spans="1:58" s="53" customFormat="1" ht="26.4" customHeight="1" x14ac:dyDescent="0.45">
      <c r="A3" s="169"/>
      <c r="B3" s="171" t="s">
        <v>0</v>
      </c>
      <c r="C3" s="171" t="s">
        <v>309</v>
      </c>
      <c r="D3" s="171"/>
      <c r="E3" s="171"/>
      <c r="F3" s="171"/>
      <c r="G3" s="171"/>
      <c r="H3" s="171"/>
      <c r="I3" s="171"/>
      <c r="J3" s="171"/>
      <c r="K3" s="171" t="s">
        <v>310</v>
      </c>
      <c r="L3" s="171"/>
      <c r="M3" s="147">
        <f>BE4</f>
        <v>46174</v>
      </c>
      <c r="N3" s="147">
        <f t="shared" ref="N3:AQ3" si="0">IF(M3=$BE$6,"",IF(M3="","",M3+1))</f>
        <v>46175</v>
      </c>
      <c r="O3" s="147">
        <f t="shared" si="0"/>
        <v>46176</v>
      </c>
      <c r="P3" s="147">
        <f t="shared" si="0"/>
        <v>46177</v>
      </c>
      <c r="Q3" s="147">
        <f t="shared" si="0"/>
        <v>46178</v>
      </c>
      <c r="R3" s="147">
        <f t="shared" si="0"/>
        <v>46179</v>
      </c>
      <c r="S3" s="147">
        <f t="shared" si="0"/>
        <v>46180</v>
      </c>
      <c r="T3" s="147">
        <f t="shared" si="0"/>
        <v>46181</v>
      </c>
      <c r="U3" s="147">
        <f t="shared" si="0"/>
        <v>46182</v>
      </c>
      <c r="V3" s="147">
        <f t="shared" si="0"/>
        <v>46183</v>
      </c>
      <c r="W3" s="147">
        <f t="shared" si="0"/>
        <v>46184</v>
      </c>
      <c r="X3" s="147">
        <f t="shared" si="0"/>
        <v>46185</v>
      </c>
      <c r="Y3" s="147">
        <f t="shared" si="0"/>
        <v>46186</v>
      </c>
      <c r="Z3" s="147">
        <f t="shared" si="0"/>
        <v>46187</v>
      </c>
      <c r="AA3" s="147">
        <f t="shared" si="0"/>
        <v>46188</v>
      </c>
      <c r="AB3" s="147">
        <f t="shared" si="0"/>
        <v>46189</v>
      </c>
      <c r="AC3" s="147">
        <f t="shared" si="0"/>
        <v>46190</v>
      </c>
      <c r="AD3" s="147">
        <f t="shared" si="0"/>
        <v>46191</v>
      </c>
      <c r="AE3" s="147">
        <f t="shared" si="0"/>
        <v>46192</v>
      </c>
      <c r="AF3" s="147">
        <f t="shared" si="0"/>
        <v>46193</v>
      </c>
      <c r="AG3" s="147">
        <f t="shared" si="0"/>
        <v>46194</v>
      </c>
      <c r="AH3" s="147">
        <f t="shared" si="0"/>
        <v>46195</v>
      </c>
      <c r="AI3" s="147">
        <f t="shared" si="0"/>
        <v>46196</v>
      </c>
      <c r="AJ3" s="147">
        <f t="shared" si="0"/>
        <v>46197</v>
      </c>
      <c r="AK3" s="147">
        <f t="shared" si="0"/>
        <v>46198</v>
      </c>
      <c r="AL3" s="147">
        <f t="shared" si="0"/>
        <v>46199</v>
      </c>
      <c r="AM3" s="147">
        <f t="shared" si="0"/>
        <v>46200</v>
      </c>
      <c r="AN3" s="147">
        <f t="shared" si="0"/>
        <v>46201</v>
      </c>
      <c r="AO3" s="147">
        <f t="shared" si="0"/>
        <v>46202</v>
      </c>
      <c r="AP3" s="147">
        <f t="shared" si="0"/>
        <v>46203</v>
      </c>
      <c r="AQ3" s="147" t="str">
        <f t="shared" si="0"/>
        <v/>
      </c>
      <c r="AR3" s="147"/>
      <c r="AS3" s="147"/>
      <c r="AT3" s="147"/>
      <c r="AU3" s="147"/>
      <c r="AV3" s="171" t="s">
        <v>311</v>
      </c>
      <c r="AW3" s="171" t="s">
        <v>312</v>
      </c>
      <c r="AX3" s="171" t="s">
        <v>313</v>
      </c>
      <c r="AY3" s="171" t="s">
        <v>314</v>
      </c>
      <c r="AZ3" s="171" t="s">
        <v>315</v>
      </c>
      <c r="BA3" s="171" t="s">
        <v>314</v>
      </c>
      <c r="BB3" s="203" t="s">
        <v>316</v>
      </c>
      <c r="BC3" s="167" t="s">
        <v>4</v>
      </c>
      <c r="BD3" s="203" t="s">
        <v>5</v>
      </c>
      <c r="BE3" s="61" t="s">
        <v>317</v>
      </c>
      <c r="BF3" s="54"/>
    </row>
    <row r="4" spans="1:58" s="54" customFormat="1" ht="26.4" customHeight="1" x14ac:dyDescent="0.45">
      <c r="A4" s="202"/>
      <c r="B4" s="165"/>
      <c r="C4" s="165"/>
      <c r="D4" s="165"/>
      <c r="E4" s="165"/>
      <c r="F4" s="165"/>
      <c r="G4" s="165"/>
      <c r="H4" s="165"/>
      <c r="I4" s="165"/>
      <c r="J4" s="165"/>
      <c r="K4" s="165"/>
      <c r="L4" s="165"/>
      <c r="M4" s="153" t="str">
        <f t="shared" ref="M4:AQ4" si="1">IF(M3="","",TEXT(M3,"aaa"))</f>
        <v>月</v>
      </c>
      <c r="N4" s="153" t="str">
        <f t="shared" si="1"/>
        <v>火</v>
      </c>
      <c r="O4" s="153" t="str">
        <f t="shared" si="1"/>
        <v>水</v>
      </c>
      <c r="P4" s="153" t="str">
        <f t="shared" si="1"/>
        <v>木</v>
      </c>
      <c r="Q4" s="153" t="str">
        <f t="shared" si="1"/>
        <v>金</v>
      </c>
      <c r="R4" s="153" t="str">
        <f t="shared" si="1"/>
        <v>土</v>
      </c>
      <c r="S4" s="153" t="str">
        <f t="shared" si="1"/>
        <v>日</v>
      </c>
      <c r="T4" s="153" t="str">
        <f t="shared" si="1"/>
        <v>月</v>
      </c>
      <c r="U4" s="153" t="str">
        <f t="shared" si="1"/>
        <v>火</v>
      </c>
      <c r="V4" s="153" t="str">
        <f t="shared" si="1"/>
        <v>水</v>
      </c>
      <c r="W4" s="153" t="str">
        <f t="shared" si="1"/>
        <v>木</v>
      </c>
      <c r="X4" s="153" t="str">
        <f t="shared" si="1"/>
        <v>金</v>
      </c>
      <c r="Y4" s="153" t="str">
        <f t="shared" si="1"/>
        <v>土</v>
      </c>
      <c r="Z4" s="153" t="str">
        <f t="shared" si="1"/>
        <v>日</v>
      </c>
      <c r="AA4" s="153" t="str">
        <f t="shared" si="1"/>
        <v>月</v>
      </c>
      <c r="AB4" s="153" t="str">
        <f t="shared" si="1"/>
        <v>火</v>
      </c>
      <c r="AC4" s="153" t="str">
        <f t="shared" si="1"/>
        <v>水</v>
      </c>
      <c r="AD4" s="153" t="str">
        <f t="shared" si="1"/>
        <v>木</v>
      </c>
      <c r="AE4" s="153" t="str">
        <f t="shared" si="1"/>
        <v>金</v>
      </c>
      <c r="AF4" s="153" t="str">
        <f t="shared" si="1"/>
        <v>土</v>
      </c>
      <c r="AG4" s="153" t="str">
        <f t="shared" si="1"/>
        <v>日</v>
      </c>
      <c r="AH4" s="153" t="str">
        <f t="shared" si="1"/>
        <v>月</v>
      </c>
      <c r="AI4" s="153" t="str">
        <f t="shared" si="1"/>
        <v>火</v>
      </c>
      <c r="AJ4" s="153" t="str">
        <f t="shared" si="1"/>
        <v>水</v>
      </c>
      <c r="AK4" s="153" t="str">
        <f t="shared" si="1"/>
        <v>木</v>
      </c>
      <c r="AL4" s="153" t="str">
        <f t="shared" si="1"/>
        <v>金</v>
      </c>
      <c r="AM4" s="153" t="str">
        <f t="shared" si="1"/>
        <v>土</v>
      </c>
      <c r="AN4" s="153" t="str">
        <f t="shared" si="1"/>
        <v>日</v>
      </c>
      <c r="AO4" s="153" t="str">
        <f t="shared" si="1"/>
        <v>月</v>
      </c>
      <c r="AP4" s="153" t="str">
        <f t="shared" si="1"/>
        <v>火</v>
      </c>
      <c r="AQ4" s="153" t="str">
        <f t="shared" si="1"/>
        <v/>
      </c>
      <c r="AR4" s="153" t="s">
        <v>318</v>
      </c>
      <c r="AS4" s="153" t="s">
        <v>319</v>
      </c>
      <c r="AT4" s="153" t="s">
        <v>320</v>
      </c>
      <c r="AU4" s="153" t="s">
        <v>321</v>
      </c>
      <c r="AV4" s="165"/>
      <c r="AW4" s="165"/>
      <c r="AX4" s="165"/>
      <c r="AY4" s="165"/>
      <c r="AZ4" s="165"/>
      <c r="BA4" s="165"/>
      <c r="BB4" s="164"/>
      <c r="BC4" s="204"/>
      <c r="BD4" s="164"/>
      <c r="BE4" s="62">
        <f>DATE(P1,T1,1)</f>
        <v>46174</v>
      </c>
      <c r="BF4" s="55"/>
    </row>
    <row r="5" spans="1:58" s="54" customFormat="1" ht="24" customHeight="1" x14ac:dyDescent="0.45">
      <c r="A5" s="72">
        <v>1</v>
      </c>
      <c r="B5" s="57" t="s">
        <v>322</v>
      </c>
      <c r="C5" s="57"/>
      <c r="D5" s="57"/>
      <c r="E5" s="57"/>
      <c r="F5" s="57"/>
      <c r="G5" s="57"/>
      <c r="H5" s="57"/>
      <c r="I5" s="57"/>
      <c r="J5" s="57"/>
      <c r="K5" s="57"/>
      <c r="L5" s="57"/>
      <c r="M5" s="58" t="str">
        <f>IF(M$4="土","昼",IF(M$4="日","○",IF(M$4="月","夕","")))</f>
        <v>夕</v>
      </c>
      <c r="N5" s="58" t="str">
        <f t="shared" ref="N5:AQ5" si="2">IF(N$4="土","昼",IF(N$4="日","○",IF(N$4="月","夕","")))</f>
        <v/>
      </c>
      <c r="O5" s="56" t="str">
        <f t="shared" si="2"/>
        <v/>
      </c>
      <c r="P5" s="58" t="str">
        <f t="shared" si="2"/>
        <v/>
      </c>
      <c r="Q5" s="56" t="str">
        <f t="shared" si="2"/>
        <v/>
      </c>
      <c r="R5" s="58" t="str">
        <f t="shared" si="2"/>
        <v>昼</v>
      </c>
      <c r="S5" s="56" t="str">
        <f t="shared" si="2"/>
        <v>○</v>
      </c>
      <c r="T5" s="58" t="str">
        <f t="shared" si="2"/>
        <v>夕</v>
      </c>
      <c r="U5" s="58" t="str">
        <f t="shared" si="2"/>
        <v/>
      </c>
      <c r="V5" s="56" t="str">
        <f t="shared" si="2"/>
        <v/>
      </c>
      <c r="W5" s="58" t="str">
        <f t="shared" si="2"/>
        <v/>
      </c>
      <c r="X5" s="56" t="str">
        <f t="shared" si="2"/>
        <v/>
      </c>
      <c r="Z5" s="58" t="str">
        <f>IF(Y$4="土","昼",IF(Y$4="日","○",IF(Y$4="月","夕","")))</f>
        <v>昼</v>
      </c>
      <c r="AA5" s="56" t="str">
        <f>IF(Z$4="土","昼",IF(Z$4="日","○",IF(Z$4="月","夕","")))</f>
        <v>○</v>
      </c>
      <c r="AB5" s="58" t="str">
        <f>IF(AA$4="土","昼",IF(AA$4="日","○",IF(AA$4="月","夕","")))</f>
        <v>夕</v>
      </c>
      <c r="AC5" s="56" t="str">
        <f t="shared" si="2"/>
        <v/>
      </c>
      <c r="AD5" s="58" t="str">
        <f t="shared" si="2"/>
        <v/>
      </c>
      <c r="AE5" s="56" t="str">
        <f t="shared" si="2"/>
        <v/>
      </c>
      <c r="AF5" s="58" t="str">
        <f>IF(AF$4="土","昼",IF(AF$4="日","○",IF(AF$4="月","夕","")))</f>
        <v>昼</v>
      </c>
      <c r="AG5" s="56" t="str">
        <f>IF(AG$4="土","昼",IF(AG$4="日","○",IF(AG$4="月","夕","")))</f>
        <v>○</v>
      </c>
      <c r="AH5" s="58" t="str">
        <f>IF(AH$4="土","昼",IF(AH$4="日","○",IF(AH$4="月","夕","")))</f>
        <v>夕</v>
      </c>
      <c r="AI5" s="58" t="str">
        <f t="shared" si="2"/>
        <v/>
      </c>
      <c r="AJ5" s="56" t="str">
        <f t="shared" si="2"/>
        <v/>
      </c>
      <c r="AK5" s="58" t="str">
        <f t="shared" si="2"/>
        <v/>
      </c>
      <c r="AL5" s="56" t="str">
        <f t="shared" si="2"/>
        <v/>
      </c>
      <c r="AM5" s="58" t="str">
        <f t="shared" si="2"/>
        <v>昼</v>
      </c>
      <c r="AN5" s="56" t="str">
        <f t="shared" si="2"/>
        <v>○</v>
      </c>
      <c r="AO5" s="58" t="str">
        <f t="shared" si="2"/>
        <v>夕</v>
      </c>
      <c r="AP5" s="58" t="str">
        <f t="shared" si="2"/>
        <v/>
      </c>
      <c r="AQ5" s="56" t="str">
        <f t="shared" si="2"/>
        <v/>
      </c>
      <c r="AR5" s="56">
        <f t="shared" ref="AR5:AR24" si="3">IF(COUNTIF($M5:$AQ5,"昼")=0,"",COUNTIF($M5:$AQ5,"昼"))</f>
        <v>4</v>
      </c>
      <c r="AS5" s="56">
        <f t="shared" ref="AS5:AS24" si="4">IF(COUNTIF($M5:$AQ5,"○")=0,"",COUNTIF($M5:$AQ5,"○"))</f>
        <v>4</v>
      </c>
      <c r="AT5" s="56" t="str">
        <f t="shared" ref="AT5:AT24" si="5">IF(COUNTIF($M5:$AQ5,"お")=0,"",COUNTIF($M5:$AQ5,"お"))</f>
        <v/>
      </c>
      <c r="AU5" s="56">
        <f t="shared" ref="AU5:AU24" si="6">IF(COUNTIF($M5:$AQ5,"夕")=0,"",COUNTIF($M5:$AQ5,"夕"))</f>
        <v>5</v>
      </c>
      <c r="AV5" s="56">
        <f t="shared" ref="AV5" si="7">IF(COUNTA(M5:AQ5)=0,"",SUM(AR5:AU5))</f>
        <v>13</v>
      </c>
      <c r="AW5" s="56" t="s">
        <v>323</v>
      </c>
      <c r="AX5" s="59" t="s">
        <v>324</v>
      </c>
      <c r="AY5" s="59">
        <v>8025513822</v>
      </c>
      <c r="AZ5" s="59" t="s">
        <v>325</v>
      </c>
      <c r="BA5" s="59">
        <v>8027251721</v>
      </c>
      <c r="BB5" s="66" t="s">
        <v>326</v>
      </c>
      <c r="BC5" s="56">
        <v>3</v>
      </c>
      <c r="BD5" s="88"/>
      <c r="BE5" s="61" t="s">
        <v>327</v>
      </c>
      <c r="BF5" s="55" t="s">
        <v>328</v>
      </c>
    </row>
    <row r="6" spans="1:58" s="54" customFormat="1" ht="24" customHeight="1" x14ac:dyDescent="0.45">
      <c r="A6" s="72">
        <v>2</v>
      </c>
      <c r="B6" s="57" t="s">
        <v>329</v>
      </c>
      <c r="C6" s="57"/>
      <c r="D6" s="57"/>
      <c r="E6" s="57"/>
      <c r="F6" s="57"/>
      <c r="G6" s="57"/>
      <c r="H6" s="57"/>
      <c r="I6" s="57"/>
      <c r="J6" s="57"/>
      <c r="K6" s="57"/>
      <c r="L6" s="57"/>
      <c r="M6" s="56" t="str">
        <f>IF(M$4="土","昼",IF(M$4="日","夕",""))</f>
        <v/>
      </c>
      <c r="N6" s="58" t="str">
        <f t="shared" ref="N6:AQ6" si="8">IF(N$4="土","昼",IF(N$4="日","夕",""))</f>
        <v/>
      </c>
      <c r="O6" s="58" t="str">
        <f t="shared" si="8"/>
        <v/>
      </c>
      <c r="P6" s="56" t="str">
        <f t="shared" si="8"/>
        <v/>
      </c>
      <c r="Q6" s="56" t="str">
        <f t="shared" si="8"/>
        <v/>
      </c>
      <c r="R6" s="58" t="str">
        <f t="shared" si="8"/>
        <v>昼</v>
      </c>
      <c r="S6" s="58" t="str">
        <f t="shared" si="8"/>
        <v>夕</v>
      </c>
      <c r="T6" s="56" t="str">
        <f t="shared" si="8"/>
        <v/>
      </c>
      <c r="U6" s="58" t="str">
        <f t="shared" si="8"/>
        <v/>
      </c>
      <c r="V6" s="58" t="str">
        <f t="shared" si="8"/>
        <v/>
      </c>
      <c r="W6" s="56" t="str">
        <f t="shared" si="8"/>
        <v/>
      </c>
      <c r="X6" s="56" t="str">
        <f t="shared" si="8"/>
        <v/>
      </c>
      <c r="Y6" s="58" t="str">
        <f t="shared" si="8"/>
        <v>昼</v>
      </c>
      <c r="Z6" s="58" t="str">
        <f t="shared" si="8"/>
        <v>夕</v>
      </c>
      <c r="AA6" s="56" t="str">
        <f t="shared" si="8"/>
        <v/>
      </c>
      <c r="AB6" s="58" t="str">
        <f t="shared" si="8"/>
        <v/>
      </c>
      <c r="AC6" s="58" t="str">
        <f t="shared" si="8"/>
        <v/>
      </c>
      <c r="AD6" s="56" t="s">
        <v>318</v>
      </c>
      <c r="AE6" s="58" t="s">
        <v>321</v>
      </c>
      <c r="AF6" s="58" t="str">
        <f t="shared" si="8"/>
        <v>昼</v>
      </c>
      <c r="AG6" s="58" t="str">
        <f t="shared" si="8"/>
        <v>夕</v>
      </c>
      <c r="AH6" s="56" t="str">
        <f t="shared" si="8"/>
        <v/>
      </c>
      <c r="AI6" s="58" t="str">
        <f t="shared" si="8"/>
        <v/>
      </c>
      <c r="AJ6" s="58" t="str">
        <f t="shared" si="8"/>
        <v/>
      </c>
      <c r="AK6" s="56" t="str">
        <f t="shared" si="8"/>
        <v/>
      </c>
      <c r="AL6" s="56" t="str">
        <f t="shared" si="8"/>
        <v/>
      </c>
      <c r="AM6" s="58" t="str">
        <f t="shared" si="8"/>
        <v>昼</v>
      </c>
      <c r="AN6" s="58" t="str">
        <f t="shared" si="8"/>
        <v>夕</v>
      </c>
      <c r="AO6" s="56" t="str">
        <f t="shared" si="8"/>
        <v/>
      </c>
      <c r="AP6" s="58" t="str">
        <f t="shared" si="8"/>
        <v/>
      </c>
      <c r="AQ6" s="58" t="str">
        <f t="shared" si="8"/>
        <v/>
      </c>
      <c r="AR6" s="56">
        <f t="shared" si="3"/>
        <v>5</v>
      </c>
      <c r="AS6" s="56" t="str">
        <f t="shared" si="4"/>
        <v/>
      </c>
      <c r="AT6" s="56" t="str">
        <f t="shared" si="5"/>
        <v/>
      </c>
      <c r="AU6" s="56">
        <f t="shared" si="6"/>
        <v>5</v>
      </c>
      <c r="AV6" s="56">
        <f t="shared" ref="AV6:AV24" si="9">IF(COUNTA(M6:AQ6)=0,"",SUM(AR6:AU6))</f>
        <v>10</v>
      </c>
      <c r="AW6" s="56" t="s">
        <v>330</v>
      </c>
      <c r="AX6" s="59" t="s">
        <v>331</v>
      </c>
      <c r="AY6" s="59">
        <v>9086202017</v>
      </c>
      <c r="AZ6" s="59" t="s">
        <v>332</v>
      </c>
      <c r="BA6" s="59">
        <v>9068675997</v>
      </c>
      <c r="BB6" s="66" t="s">
        <v>326</v>
      </c>
      <c r="BC6" s="56">
        <v>4</v>
      </c>
      <c r="BD6" s="88"/>
      <c r="BE6" s="62">
        <f>DATE(P1,T1+1,1)-1</f>
        <v>46203</v>
      </c>
      <c r="BF6" s="55" t="s">
        <v>333</v>
      </c>
    </row>
    <row r="7" spans="1:58" s="54" customFormat="1" ht="24" customHeight="1" x14ac:dyDescent="0.45">
      <c r="A7" s="72">
        <v>3</v>
      </c>
      <c r="B7" s="57" t="s">
        <v>334</v>
      </c>
      <c r="C7" s="57"/>
      <c r="D7" s="57"/>
      <c r="E7" s="57"/>
      <c r="F7" s="57"/>
      <c r="G7" s="57"/>
      <c r="H7" s="57"/>
      <c r="I7" s="57"/>
      <c r="J7" s="57"/>
      <c r="K7" s="57"/>
      <c r="L7" s="57"/>
      <c r="M7" s="56" t="s">
        <v>319</v>
      </c>
      <c r="N7" s="56" t="s">
        <v>320</v>
      </c>
      <c r="O7" s="56" t="str">
        <f t="shared" ref="O7:AQ7" si="10">IF(O$4="金","昼",IF(O$4="土","○",IF(O$4="日","○",IF(O$4="月","お",""))))</f>
        <v/>
      </c>
      <c r="P7" s="56" t="str">
        <f t="shared" si="10"/>
        <v/>
      </c>
      <c r="Q7" s="56" t="str">
        <f t="shared" si="10"/>
        <v>昼</v>
      </c>
      <c r="R7" s="56" t="str">
        <f t="shared" si="10"/>
        <v>○</v>
      </c>
      <c r="S7" s="56" t="str">
        <f t="shared" si="10"/>
        <v>○</v>
      </c>
      <c r="T7" s="56" t="str">
        <f t="shared" si="10"/>
        <v>お</v>
      </c>
      <c r="U7" s="56" t="str">
        <f t="shared" si="10"/>
        <v/>
      </c>
      <c r="V7" s="56" t="str">
        <f t="shared" si="10"/>
        <v/>
      </c>
      <c r="W7" s="56" t="str">
        <f t="shared" si="10"/>
        <v/>
      </c>
      <c r="X7" s="56" t="str">
        <f t="shared" si="10"/>
        <v>昼</v>
      </c>
      <c r="Y7" s="56" t="str">
        <f t="shared" si="10"/>
        <v>○</v>
      </c>
      <c r="Z7" s="56" t="str">
        <f t="shared" si="10"/>
        <v>○</v>
      </c>
      <c r="AA7" s="56" t="str">
        <f t="shared" si="10"/>
        <v>お</v>
      </c>
      <c r="AB7" s="56" t="str">
        <f t="shared" si="10"/>
        <v/>
      </c>
      <c r="AC7" s="56" t="str">
        <f t="shared" si="10"/>
        <v/>
      </c>
      <c r="AD7" s="56" t="str">
        <f t="shared" si="10"/>
        <v/>
      </c>
      <c r="AE7" s="56" t="str">
        <f t="shared" si="10"/>
        <v>昼</v>
      </c>
      <c r="AF7" s="56" t="str">
        <f t="shared" si="10"/>
        <v>○</v>
      </c>
      <c r="AG7" s="56" t="str">
        <f t="shared" si="10"/>
        <v>○</v>
      </c>
      <c r="AH7" s="56" t="str">
        <f t="shared" si="10"/>
        <v>お</v>
      </c>
      <c r="AI7" s="56" t="str">
        <f t="shared" si="10"/>
        <v/>
      </c>
      <c r="AJ7" s="56" t="str">
        <f t="shared" si="10"/>
        <v/>
      </c>
      <c r="AK7" s="56" t="str">
        <f t="shared" si="10"/>
        <v/>
      </c>
      <c r="AL7" s="56" t="str">
        <f t="shared" si="10"/>
        <v>昼</v>
      </c>
      <c r="AM7" s="56" t="str">
        <f t="shared" si="10"/>
        <v>○</v>
      </c>
      <c r="AN7" s="56" t="str">
        <f t="shared" si="10"/>
        <v>○</v>
      </c>
      <c r="AO7" s="56" t="str">
        <f t="shared" si="10"/>
        <v>お</v>
      </c>
      <c r="AP7" s="56" t="str">
        <f t="shared" si="10"/>
        <v/>
      </c>
      <c r="AQ7" s="56" t="str">
        <f t="shared" si="10"/>
        <v/>
      </c>
      <c r="AR7" s="56">
        <f t="shared" si="3"/>
        <v>4</v>
      </c>
      <c r="AS7" s="56">
        <f t="shared" si="4"/>
        <v>9</v>
      </c>
      <c r="AT7" s="56">
        <f t="shared" si="5"/>
        <v>5</v>
      </c>
      <c r="AU7" s="56" t="str">
        <f t="shared" si="6"/>
        <v/>
      </c>
      <c r="AV7" s="56">
        <f t="shared" si="9"/>
        <v>18</v>
      </c>
      <c r="AW7" s="56" t="s">
        <v>330</v>
      </c>
      <c r="AX7" s="56" t="s">
        <v>335</v>
      </c>
      <c r="AY7" s="59">
        <v>8039457095</v>
      </c>
      <c r="AZ7" s="56" t="s">
        <v>336</v>
      </c>
      <c r="BA7" s="59">
        <v>8039162381</v>
      </c>
      <c r="BB7" s="66" t="s">
        <v>337</v>
      </c>
      <c r="BC7" s="56">
        <v>3</v>
      </c>
      <c r="BD7" s="88"/>
      <c r="BE7" s="61"/>
      <c r="BF7" s="55" t="s">
        <v>338</v>
      </c>
    </row>
    <row r="8" spans="1:58" s="54" customFormat="1" ht="24" customHeight="1" x14ac:dyDescent="0.45">
      <c r="A8" s="72">
        <v>4</v>
      </c>
      <c r="B8" s="75" t="s">
        <v>339</v>
      </c>
      <c r="C8" s="57"/>
      <c r="D8" s="57"/>
      <c r="E8" s="57"/>
      <c r="F8" s="57"/>
      <c r="G8" s="57"/>
      <c r="H8" s="57"/>
      <c r="I8" s="57"/>
      <c r="J8" s="57"/>
      <c r="K8" s="57"/>
      <c r="L8" s="57"/>
      <c r="M8" s="56"/>
      <c r="N8" s="56"/>
      <c r="O8" s="56"/>
      <c r="P8" s="56"/>
      <c r="Q8" s="56"/>
      <c r="R8" s="56"/>
      <c r="S8" s="56"/>
      <c r="T8" s="56"/>
      <c r="U8" s="56"/>
      <c r="V8" s="56"/>
      <c r="W8" s="56"/>
      <c r="X8" s="56"/>
      <c r="Y8" s="56"/>
      <c r="Z8" s="56"/>
      <c r="AA8" s="56"/>
      <c r="AB8" s="56"/>
      <c r="AC8" s="56"/>
      <c r="AD8" s="56"/>
      <c r="AE8" s="56"/>
      <c r="AF8" s="56"/>
      <c r="AG8" s="56"/>
      <c r="AH8" s="56"/>
      <c r="AI8" s="56"/>
      <c r="AJ8" s="56"/>
      <c r="AK8" s="64"/>
      <c r="AL8" s="56"/>
      <c r="AM8" s="56"/>
      <c r="AN8" s="56"/>
      <c r="AO8" s="56" t="s">
        <v>318</v>
      </c>
      <c r="AP8" s="56" t="s">
        <v>320</v>
      </c>
      <c r="AQ8" s="56"/>
      <c r="AR8" s="56">
        <f t="shared" si="3"/>
        <v>1</v>
      </c>
      <c r="AS8" s="56" t="str">
        <f t="shared" si="4"/>
        <v/>
      </c>
      <c r="AT8" s="56">
        <f t="shared" si="5"/>
        <v>1</v>
      </c>
      <c r="AU8" s="56" t="str">
        <f t="shared" si="6"/>
        <v/>
      </c>
      <c r="AV8" s="56">
        <f t="shared" si="9"/>
        <v>2</v>
      </c>
      <c r="AW8" s="56" t="s">
        <v>323</v>
      </c>
      <c r="AX8" s="56" t="s">
        <v>340</v>
      </c>
      <c r="AY8" s="59">
        <v>9037963062</v>
      </c>
      <c r="AZ8" s="56" t="s">
        <v>341</v>
      </c>
      <c r="BA8" s="59">
        <v>9075873470</v>
      </c>
      <c r="BB8" s="56" t="s">
        <v>326</v>
      </c>
      <c r="BC8" s="56">
        <v>3</v>
      </c>
      <c r="BD8" s="88"/>
      <c r="BE8" s="53"/>
      <c r="BF8" s="55"/>
    </row>
    <row r="9" spans="1:58" s="54" customFormat="1" ht="24" customHeight="1" x14ac:dyDescent="0.45">
      <c r="A9" s="72">
        <v>5</v>
      </c>
      <c r="B9" s="57" t="s">
        <v>342</v>
      </c>
      <c r="C9" s="57"/>
      <c r="D9" s="57"/>
      <c r="E9" s="57"/>
      <c r="F9" s="57"/>
      <c r="G9" s="57"/>
      <c r="H9" s="57"/>
      <c r="I9" s="57"/>
      <c r="J9" s="57" t="str">
        <f>IF(COUNTA(C9:I9)=0,"",COUNTA(C9:I9))</f>
        <v/>
      </c>
      <c r="K9" s="57"/>
      <c r="L9" s="57"/>
      <c r="M9" s="56" t="str">
        <f>IF(M$4="火","昼",IF(M$4="水","○",IF(M$4="木","夕","")))</f>
        <v/>
      </c>
      <c r="N9" s="58" t="str">
        <f t="shared" ref="N9:AQ9" si="11">IF(N$4="火","昼",IF(N$4="水","○",IF(N$4="木","夕","")))</f>
        <v>昼</v>
      </c>
      <c r="O9" s="56" t="str">
        <f t="shared" si="11"/>
        <v>○</v>
      </c>
      <c r="P9" s="58" t="str">
        <f t="shared" si="11"/>
        <v>夕</v>
      </c>
      <c r="Q9" s="56" t="str">
        <f t="shared" si="11"/>
        <v/>
      </c>
      <c r="R9" s="56" t="str">
        <f t="shared" si="11"/>
        <v/>
      </c>
      <c r="S9" s="56" t="str">
        <f t="shared" si="11"/>
        <v/>
      </c>
      <c r="T9" s="56" t="str">
        <f t="shared" si="11"/>
        <v/>
      </c>
      <c r="U9" s="58" t="str">
        <f t="shared" si="11"/>
        <v>昼</v>
      </c>
      <c r="V9" s="56" t="str">
        <f t="shared" si="11"/>
        <v>○</v>
      </c>
      <c r="W9" s="58" t="str">
        <f t="shared" si="11"/>
        <v>夕</v>
      </c>
      <c r="X9" s="56" t="str">
        <f t="shared" si="11"/>
        <v/>
      </c>
      <c r="Y9" s="56" t="str">
        <f t="shared" si="11"/>
        <v/>
      </c>
      <c r="Z9" s="56" t="str">
        <f t="shared" si="11"/>
        <v/>
      </c>
      <c r="AA9" s="56" t="str">
        <f t="shared" si="11"/>
        <v/>
      </c>
      <c r="AB9" s="56" t="str">
        <f t="shared" si="11"/>
        <v>昼</v>
      </c>
      <c r="AC9" s="56" t="str">
        <f t="shared" si="11"/>
        <v>○</v>
      </c>
      <c r="AD9" s="56" t="str">
        <f t="shared" si="11"/>
        <v>夕</v>
      </c>
      <c r="AE9" s="56" t="str">
        <f t="shared" si="11"/>
        <v/>
      </c>
      <c r="AF9" s="56" t="str">
        <f t="shared" si="11"/>
        <v/>
      </c>
      <c r="AG9" s="56" t="str">
        <f t="shared" si="11"/>
        <v/>
      </c>
      <c r="AH9" s="56" t="str">
        <f t="shared" si="11"/>
        <v/>
      </c>
      <c r="AI9" s="56" t="str">
        <f t="shared" si="11"/>
        <v>昼</v>
      </c>
      <c r="AJ9" s="56" t="str">
        <f t="shared" si="11"/>
        <v>○</v>
      </c>
      <c r="AK9" s="56" t="str">
        <f t="shared" si="11"/>
        <v>夕</v>
      </c>
      <c r="AL9" s="56" t="str">
        <f t="shared" si="11"/>
        <v/>
      </c>
      <c r="AM9" s="56" t="str">
        <f t="shared" si="11"/>
        <v/>
      </c>
      <c r="AN9" s="56" t="str">
        <f t="shared" si="11"/>
        <v/>
      </c>
      <c r="AO9" s="56" t="str">
        <f t="shared" si="11"/>
        <v/>
      </c>
      <c r="AP9" s="56" t="str">
        <f t="shared" si="11"/>
        <v>昼</v>
      </c>
      <c r="AQ9" s="56" t="str">
        <f t="shared" si="11"/>
        <v/>
      </c>
      <c r="AR9" s="56">
        <f t="shared" si="3"/>
        <v>5</v>
      </c>
      <c r="AS9" s="56">
        <f t="shared" si="4"/>
        <v>4</v>
      </c>
      <c r="AT9" s="56" t="str">
        <f t="shared" si="5"/>
        <v/>
      </c>
      <c r="AU9" s="56">
        <f t="shared" si="6"/>
        <v>4</v>
      </c>
      <c r="AV9" s="56">
        <f t="shared" si="9"/>
        <v>13</v>
      </c>
      <c r="AW9" s="56" t="s">
        <v>323</v>
      </c>
      <c r="AX9" s="56" t="s">
        <v>343</v>
      </c>
      <c r="AY9" s="59">
        <v>9019466851</v>
      </c>
      <c r="AZ9" s="56" t="s">
        <v>336</v>
      </c>
      <c r="BA9" s="59">
        <v>8039162381</v>
      </c>
      <c r="BB9" s="66" t="s">
        <v>326</v>
      </c>
      <c r="BC9" s="56">
        <v>2</v>
      </c>
      <c r="BD9" s="88">
        <v>46630</v>
      </c>
      <c r="BE9" s="53"/>
      <c r="BF9" s="55"/>
    </row>
    <row r="10" spans="1:58" s="54" customFormat="1" ht="24" customHeight="1" x14ac:dyDescent="0.45">
      <c r="A10" s="72">
        <v>6</v>
      </c>
      <c r="B10" s="57" t="s">
        <v>344</v>
      </c>
      <c r="C10" s="57"/>
      <c r="D10" s="57"/>
      <c r="E10" s="57"/>
      <c r="F10" s="57"/>
      <c r="G10" s="57"/>
      <c r="H10" s="57"/>
      <c r="I10" s="57"/>
      <c r="J10" s="57"/>
      <c r="K10" s="57"/>
      <c r="L10" s="57"/>
      <c r="M10" s="56"/>
      <c r="N10" s="56"/>
      <c r="O10" s="56"/>
      <c r="P10" s="56"/>
      <c r="Q10" s="56"/>
      <c r="R10" s="56"/>
      <c r="S10" s="56"/>
      <c r="T10" s="56"/>
      <c r="U10" s="56"/>
      <c r="V10" s="56" t="str">
        <f t="shared" ref="V10:AQ10" si="12">IF(V$4="木","昼",IF(V$4="金","○",IF(V$4="土","夕","")))</f>
        <v/>
      </c>
      <c r="W10" s="56" t="str">
        <f t="shared" si="12"/>
        <v>昼</v>
      </c>
      <c r="X10" s="56" t="str">
        <f t="shared" si="12"/>
        <v>○</v>
      </c>
      <c r="Y10" s="58" t="str">
        <f t="shared" si="12"/>
        <v>夕</v>
      </c>
      <c r="Z10" s="56" t="str">
        <f t="shared" si="12"/>
        <v/>
      </c>
      <c r="AA10" s="56" t="str">
        <f t="shared" si="12"/>
        <v/>
      </c>
      <c r="AB10" s="58" t="str">
        <f t="shared" si="12"/>
        <v/>
      </c>
      <c r="AC10" s="56"/>
      <c r="AD10" s="56"/>
      <c r="AE10" s="56"/>
      <c r="AF10" s="56"/>
      <c r="AG10" s="56"/>
      <c r="AH10" s="56"/>
      <c r="AI10" s="56"/>
      <c r="AJ10" s="56" t="str">
        <f t="shared" si="12"/>
        <v/>
      </c>
      <c r="AK10" s="56" t="str">
        <f t="shared" si="12"/>
        <v>昼</v>
      </c>
      <c r="AL10" s="56" t="str">
        <f t="shared" si="12"/>
        <v>○</v>
      </c>
      <c r="AM10" s="76" t="s">
        <v>319</v>
      </c>
      <c r="AN10" s="56" t="s">
        <v>319</v>
      </c>
      <c r="AO10" s="56" t="s">
        <v>319</v>
      </c>
      <c r="AP10" s="56" t="s">
        <v>319</v>
      </c>
      <c r="AQ10" s="56" t="str">
        <f t="shared" si="12"/>
        <v/>
      </c>
      <c r="AR10" s="56">
        <f t="shared" si="3"/>
        <v>2</v>
      </c>
      <c r="AS10" s="56">
        <f t="shared" si="4"/>
        <v>6</v>
      </c>
      <c r="AT10" s="56" t="str">
        <f t="shared" si="5"/>
        <v/>
      </c>
      <c r="AU10" s="56">
        <f t="shared" si="6"/>
        <v>1</v>
      </c>
      <c r="AV10" s="56">
        <f t="shared" si="9"/>
        <v>9</v>
      </c>
      <c r="AW10" s="56" t="s">
        <v>323</v>
      </c>
      <c r="AX10" s="56" t="s">
        <v>345</v>
      </c>
      <c r="AY10" s="59">
        <v>9068975316</v>
      </c>
      <c r="AZ10" s="56" t="s">
        <v>346</v>
      </c>
      <c r="BA10" s="59">
        <v>8033750538</v>
      </c>
      <c r="BB10" s="66" t="s">
        <v>347</v>
      </c>
      <c r="BC10" s="56">
        <v>2</v>
      </c>
      <c r="BD10" s="66"/>
      <c r="BE10" s="53"/>
      <c r="BF10" s="55"/>
    </row>
    <row r="11" spans="1:58" s="54" customFormat="1" ht="24" customHeight="1" x14ac:dyDescent="0.45">
      <c r="A11" s="72">
        <v>7</v>
      </c>
      <c r="B11" s="57" t="s">
        <v>348</v>
      </c>
      <c r="C11" s="57"/>
      <c r="D11" s="57"/>
      <c r="E11" s="57"/>
      <c r="F11" s="57"/>
      <c r="G11" s="57"/>
      <c r="H11" s="57"/>
      <c r="I11" s="57"/>
      <c r="J11" s="57"/>
      <c r="K11" s="57"/>
      <c r="L11" s="57"/>
      <c r="M11" s="56" t="s">
        <v>319</v>
      </c>
      <c r="N11" s="76" t="s">
        <v>319</v>
      </c>
      <c r="O11" s="56" t="s">
        <v>319</v>
      </c>
      <c r="P11" s="56" t="s">
        <v>319</v>
      </c>
      <c r="Q11" s="76" t="s">
        <v>319</v>
      </c>
      <c r="R11" s="56" t="s">
        <v>319</v>
      </c>
      <c r="S11" s="56" t="s">
        <v>319</v>
      </c>
      <c r="T11" s="56" t="s">
        <v>319</v>
      </c>
      <c r="U11" s="76" t="s">
        <v>319</v>
      </c>
      <c r="V11" s="56" t="s">
        <v>319</v>
      </c>
      <c r="W11" s="56" t="s">
        <v>319</v>
      </c>
      <c r="X11" s="76" t="s">
        <v>319</v>
      </c>
      <c r="Y11" s="56" t="s">
        <v>319</v>
      </c>
      <c r="Z11" s="56" t="s">
        <v>319</v>
      </c>
      <c r="AA11" s="56" t="s">
        <v>319</v>
      </c>
      <c r="AB11" s="76" t="s">
        <v>319</v>
      </c>
      <c r="AC11" s="56" t="s">
        <v>319</v>
      </c>
      <c r="AD11" s="56" t="s">
        <v>319</v>
      </c>
      <c r="AE11" s="76" t="s">
        <v>319</v>
      </c>
      <c r="AF11" s="56" t="s">
        <v>319</v>
      </c>
      <c r="AG11" s="56" t="s">
        <v>319</v>
      </c>
      <c r="AH11" s="56" t="s">
        <v>319</v>
      </c>
      <c r="AI11" s="76" t="s">
        <v>319</v>
      </c>
      <c r="AJ11" s="56" t="s">
        <v>319</v>
      </c>
      <c r="AK11" s="56" t="s">
        <v>319</v>
      </c>
      <c r="AL11" s="76" t="s">
        <v>319</v>
      </c>
      <c r="AM11" s="56" t="s">
        <v>319</v>
      </c>
      <c r="AN11" s="56" t="s">
        <v>319</v>
      </c>
      <c r="AO11" s="56" t="s">
        <v>319</v>
      </c>
      <c r="AP11" s="76" t="s">
        <v>319</v>
      </c>
      <c r="AQ11" s="56"/>
      <c r="AR11" s="56" t="str">
        <f t="shared" si="3"/>
        <v/>
      </c>
      <c r="AS11" s="56">
        <f t="shared" si="4"/>
        <v>30</v>
      </c>
      <c r="AT11" s="56" t="str">
        <f t="shared" si="5"/>
        <v/>
      </c>
      <c r="AU11" s="56" t="str">
        <f t="shared" si="6"/>
        <v/>
      </c>
      <c r="AV11" s="56">
        <f t="shared" si="9"/>
        <v>30</v>
      </c>
      <c r="AW11" s="56" t="s">
        <v>323</v>
      </c>
      <c r="AX11" s="56" t="s">
        <v>349</v>
      </c>
      <c r="AY11" s="59">
        <v>9013413414</v>
      </c>
      <c r="AZ11" s="56" t="s">
        <v>350</v>
      </c>
      <c r="BA11" s="59">
        <v>9068641724</v>
      </c>
      <c r="BB11" s="66" t="s">
        <v>337</v>
      </c>
      <c r="BC11" s="56">
        <v>3</v>
      </c>
      <c r="BD11" s="88"/>
      <c r="BE11" s="53"/>
      <c r="BF11" s="55"/>
    </row>
    <row r="12" spans="1:58" s="54" customFormat="1" ht="24" customHeight="1" x14ac:dyDescent="0.45">
      <c r="A12" s="72">
        <v>8</v>
      </c>
      <c r="B12" s="57" t="s">
        <v>351</v>
      </c>
      <c r="C12" s="57"/>
      <c r="D12" s="57"/>
      <c r="E12" s="57"/>
      <c r="F12" s="57"/>
      <c r="G12" s="57"/>
      <c r="H12" s="57"/>
      <c r="I12" s="57"/>
      <c r="J12" s="57"/>
      <c r="K12" s="57"/>
      <c r="L12" s="57"/>
      <c r="M12" s="56" t="str">
        <f>IF(M$4="土","昼",IF(M$4="日","お",""))</f>
        <v/>
      </c>
      <c r="N12" s="56" t="str">
        <f t="shared" ref="N12:AQ12" si="13">IF(N$4="土","昼",IF(N$4="日","お",""))</f>
        <v/>
      </c>
      <c r="O12" s="56" t="str">
        <f t="shared" si="13"/>
        <v/>
      </c>
      <c r="P12" s="56" t="str">
        <f t="shared" si="13"/>
        <v/>
      </c>
      <c r="Q12" s="56" t="str">
        <f t="shared" si="13"/>
        <v/>
      </c>
      <c r="R12" s="58" t="str">
        <f t="shared" si="13"/>
        <v>昼</v>
      </c>
      <c r="S12" s="58" t="str">
        <f t="shared" si="13"/>
        <v>お</v>
      </c>
      <c r="T12" s="56" t="str">
        <f t="shared" si="13"/>
        <v/>
      </c>
      <c r="U12" s="56" t="str">
        <f t="shared" si="13"/>
        <v/>
      </c>
      <c r="V12" s="56" t="str">
        <f t="shared" si="13"/>
        <v/>
      </c>
      <c r="W12" s="56" t="str">
        <f t="shared" si="13"/>
        <v/>
      </c>
      <c r="X12" s="56" t="str">
        <f t="shared" si="13"/>
        <v/>
      </c>
      <c r="Y12" s="58" t="str">
        <f t="shared" si="13"/>
        <v>昼</v>
      </c>
      <c r="Z12" s="58" t="str">
        <f t="shared" si="13"/>
        <v>お</v>
      </c>
      <c r="AA12" s="56" t="str">
        <f t="shared" si="13"/>
        <v/>
      </c>
      <c r="AB12" s="56" t="str">
        <f t="shared" si="13"/>
        <v/>
      </c>
      <c r="AC12" s="56" t="str">
        <f t="shared" si="13"/>
        <v/>
      </c>
      <c r="AD12" s="56" t="str">
        <f t="shared" si="13"/>
        <v/>
      </c>
      <c r="AE12" s="56" t="str">
        <f t="shared" si="13"/>
        <v/>
      </c>
      <c r="AF12" s="58" t="str">
        <f t="shared" si="13"/>
        <v>昼</v>
      </c>
      <c r="AG12" s="58" t="str">
        <f t="shared" si="13"/>
        <v>お</v>
      </c>
      <c r="AH12" s="56" t="str">
        <f t="shared" si="13"/>
        <v/>
      </c>
      <c r="AI12" s="56" t="str">
        <f t="shared" si="13"/>
        <v/>
      </c>
      <c r="AJ12" s="56" t="str">
        <f t="shared" si="13"/>
        <v/>
      </c>
      <c r="AK12" s="56" t="str">
        <f t="shared" si="13"/>
        <v/>
      </c>
      <c r="AL12" s="56" t="str">
        <f t="shared" si="13"/>
        <v/>
      </c>
      <c r="AM12" s="58" t="str">
        <f t="shared" si="13"/>
        <v>昼</v>
      </c>
      <c r="AN12" s="58" t="str">
        <f t="shared" si="13"/>
        <v>お</v>
      </c>
      <c r="AO12" s="56" t="str">
        <f t="shared" si="13"/>
        <v/>
      </c>
      <c r="AP12" s="56" t="str">
        <f t="shared" si="13"/>
        <v/>
      </c>
      <c r="AQ12" s="56" t="str">
        <f t="shared" si="13"/>
        <v/>
      </c>
      <c r="AR12" s="56">
        <f t="shared" si="3"/>
        <v>4</v>
      </c>
      <c r="AS12" s="56" t="str">
        <f t="shared" si="4"/>
        <v/>
      </c>
      <c r="AT12" s="56">
        <f t="shared" si="5"/>
        <v>4</v>
      </c>
      <c r="AU12" s="56" t="str">
        <f t="shared" si="6"/>
        <v/>
      </c>
      <c r="AV12" s="56">
        <f t="shared" si="9"/>
        <v>8</v>
      </c>
      <c r="AW12" s="56" t="s">
        <v>323</v>
      </c>
      <c r="AX12" s="56" t="s">
        <v>353</v>
      </c>
      <c r="AY12" s="59">
        <v>9097873561</v>
      </c>
      <c r="AZ12" s="56" t="s">
        <v>346</v>
      </c>
      <c r="BA12" s="59">
        <v>8033750537</v>
      </c>
      <c r="BB12" s="66" t="s">
        <v>347</v>
      </c>
      <c r="BC12" s="56">
        <v>1</v>
      </c>
      <c r="BD12" s="88"/>
      <c r="BE12" s="53"/>
      <c r="BF12" s="55"/>
    </row>
    <row r="13" spans="1:58" s="54" customFormat="1" ht="24" customHeight="1" x14ac:dyDescent="0.45">
      <c r="A13" s="72">
        <v>9</v>
      </c>
      <c r="B13" s="57" t="s">
        <v>354</v>
      </c>
      <c r="C13" s="57"/>
      <c r="D13" s="57"/>
      <c r="E13" s="57"/>
      <c r="F13" s="57"/>
      <c r="G13" s="57"/>
      <c r="H13" s="57"/>
      <c r="I13" s="57"/>
      <c r="J13" s="57"/>
      <c r="K13" s="57"/>
      <c r="L13" s="57"/>
      <c r="M13" s="56"/>
      <c r="N13" s="56"/>
      <c r="O13" s="56"/>
      <c r="P13" s="56"/>
      <c r="Q13" s="56"/>
      <c r="R13" s="56"/>
      <c r="S13" s="56"/>
      <c r="T13" s="56"/>
      <c r="U13" s="56"/>
      <c r="V13" s="58"/>
      <c r="W13" s="56"/>
      <c r="X13" s="56"/>
      <c r="Y13" s="56"/>
      <c r="Z13" s="56"/>
      <c r="AA13" s="56" t="s">
        <v>352</v>
      </c>
      <c r="AB13" s="56" t="s">
        <v>320</v>
      </c>
      <c r="AC13" s="56"/>
      <c r="AD13" s="56"/>
      <c r="AE13" s="58"/>
      <c r="AF13" s="56"/>
      <c r="AG13" s="56"/>
      <c r="AH13" s="56"/>
      <c r="AI13" s="56"/>
      <c r="AJ13" s="56"/>
      <c r="AK13" s="56"/>
      <c r="AL13" s="56"/>
      <c r="AM13" s="56"/>
      <c r="AN13" s="56"/>
      <c r="AO13" s="56"/>
      <c r="AP13" s="56"/>
      <c r="AQ13" s="56"/>
      <c r="AR13" s="56">
        <f t="shared" si="3"/>
        <v>1</v>
      </c>
      <c r="AS13" s="56" t="str">
        <f t="shared" si="4"/>
        <v/>
      </c>
      <c r="AT13" s="56">
        <f t="shared" si="5"/>
        <v>1</v>
      </c>
      <c r="AU13" s="56" t="str">
        <f t="shared" si="6"/>
        <v/>
      </c>
      <c r="AV13" s="56">
        <f t="shared" si="9"/>
        <v>2</v>
      </c>
      <c r="AW13" s="56" t="s">
        <v>323</v>
      </c>
      <c r="AX13" s="56" t="s">
        <v>355</v>
      </c>
      <c r="AY13" s="59">
        <v>9094067262</v>
      </c>
      <c r="AZ13" s="56" t="s">
        <v>356</v>
      </c>
      <c r="BA13" s="59">
        <v>7012498633</v>
      </c>
      <c r="BB13" s="66" t="s">
        <v>326</v>
      </c>
      <c r="BC13" s="56">
        <v>2</v>
      </c>
      <c r="BD13" s="88"/>
      <c r="BE13" s="53"/>
      <c r="BF13" s="55"/>
    </row>
    <row r="14" spans="1:58" s="54" customFormat="1" ht="24" customHeight="1" x14ac:dyDescent="0.45">
      <c r="A14" s="72">
        <v>10</v>
      </c>
      <c r="B14" s="57" t="s">
        <v>357</v>
      </c>
      <c r="C14" s="57"/>
      <c r="D14" s="57"/>
      <c r="E14" s="57"/>
      <c r="F14" s="57"/>
      <c r="G14" s="57"/>
      <c r="H14" s="57"/>
      <c r="I14" s="57"/>
      <c r="J14" s="57"/>
      <c r="K14" s="57"/>
      <c r="L14" s="57"/>
      <c r="M14" s="56" t="s">
        <v>352</v>
      </c>
      <c r="N14" s="72" t="s">
        <v>319</v>
      </c>
      <c r="O14" s="72" t="s">
        <v>319</v>
      </c>
      <c r="P14" s="76" t="s">
        <v>319</v>
      </c>
      <c r="Q14" s="72" t="s">
        <v>319</v>
      </c>
      <c r="R14" s="72" t="s">
        <v>319</v>
      </c>
      <c r="S14" s="72" t="s">
        <v>319</v>
      </c>
      <c r="T14" s="76" t="s">
        <v>319</v>
      </c>
      <c r="U14" s="72" t="s">
        <v>319</v>
      </c>
      <c r="V14" s="56" t="s">
        <v>319</v>
      </c>
      <c r="W14" s="56" t="s">
        <v>320</v>
      </c>
      <c r="X14" s="56"/>
      <c r="Y14" s="56"/>
      <c r="Z14" s="56"/>
      <c r="AA14" s="56" t="s">
        <v>352</v>
      </c>
      <c r="AB14" s="72" t="s">
        <v>319</v>
      </c>
      <c r="AC14" s="72" t="s">
        <v>319</v>
      </c>
      <c r="AD14" s="76" t="s">
        <v>319</v>
      </c>
      <c r="AE14" s="72" t="s">
        <v>319</v>
      </c>
      <c r="AF14" s="72" t="s">
        <v>319</v>
      </c>
      <c r="AG14" s="72" t="s">
        <v>319</v>
      </c>
      <c r="AH14" s="72" t="s">
        <v>319</v>
      </c>
      <c r="AI14" s="76" t="s">
        <v>319</v>
      </c>
      <c r="AJ14" s="56" t="s">
        <v>319</v>
      </c>
      <c r="AK14" s="56" t="s">
        <v>320</v>
      </c>
      <c r="AL14" s="64"/>
      <c r="AM14" s="64"/>
      <c r="AN14" s="64"/>
      <c r="AO14" s="56" t="s">
        <v>318</v>
      </c>
      <c r="AP14" s="56" t="s">
        <v>319</v>
      </c>
      <c r="AQ14" s="56"/>
      <c r="AR14" s="56">
        <f t="shared" si="3"/>
        <v>3</v>
      </c>
      <c r="AS14" s="56">
        <f t="shared" si="4"/>
        <v>19</v>
      </c>
      <c r="AT14" s="56">
        <f t="shared" si="5"/>
        <v>2</v>
      </c>
      <c r="AU14" s="56" t="str">
        <f t="shared" si="6"/>
        <v/>
      </c>
      <c r="AV14" s="56">
        <f t="shared" si="9"/>
        <v>24</v>
      </c>
      <c r="AW14" s="56" t="s">
        <v>330</v>
      </c>
      <c r="AX14" s="56" t="s">
        <v>358</v>
      </c>
      <c r="AY14" s="59">
        <v>8035335927</v>
      </c>
      <c r="AZ14" s="56" t="s">
        <v>359</v>
      </c>
      <c r="BA14" s="59">
        <v>9082902739</v>
      </c>
      <c r="BB14" s="66" t="s">
        <v>360</v>
      </c>
      <c r="BC14" s="56">
        <v>3</v>
      </c>
      <c r="BD14" s="88"/>
      <c r="BE14" s="53"/>
      <c r="BF14" s="55"/>
    </row>
    <row r="15" spans="1:58" s="54" customFormat="1" ht="24" customHeight="1" x14ac:dyDescent="0.45">
      <c r="A15" s="72">
        <v>11</v>
      </c>
      <c r="B15" s="57" t="s">
        <v>363</v>
      </c>
      <c r="C15" s="57"/>
      <c r="D15" s="57"/>
      <c r="E15" s="57"/>
      <c r="F15" s="57"/>
      <c r="G15" s="57"/>
      <c r="H15" s="57"/>
      <c r="I15" s="57"/>
      <c r="J15" s="57"/>
      <c r="K15" s="57"/>
      <c r="L15" s="57"/>
      <c r="M15" s="56" t="str">
        <f>IF(M$4="日","昼",IF(M$4="月","お",""))</f>
        <v>お</v>
      </c>
      <c r="N15" s="56" t="str">
        <f t="shared" ref="N15:AQ15" si="14">IF(N$4="日","昼",IF(N$4="月","お",""))</f>
        <v/>
      </c>
      <c r="O15" s="58" t="str">
        <f t="shared" si="14"/>
        <v/>
      </c>
      <c r="P15" s="56" t="str">
        <f t="shared" si="14"/>
        <v/>
      </c>
      <c r="Q15" s="56" t="str">
        <f t="shared" si="14"/>
        <v/>
      </c>
      <c r="R15" s="56" t="str">
        <f t="shared" si="14"/>
        <v/>
      </c>
      <c r="S15" s="58"/>
      <c r="T15" s="56"/>
      <c r="U15" s="56" t="str">
        <f t="shared" si="14"/>
        <v/>
      </c>
      <c r="V15" s="58" t="str">
        <f t="shared" si="14"/>
        <v/>
      </c>
      <c r="W15" s="56" t="str">
        <f t="shared" si="14"/>
        <v/>
      </c>
      <c r="X15" s="56" t="str">
        <f t="shared" si="14"/>
        <v/>
      </c>
      <c r="Y15" s="56"/>
      <c r="Z15" s="58"/>
      <c r="AA15" s="56"/>
      <c r="AB15" s="56"/>
      <c r="AC15" s="58"/>
      <c r="AD15" s="56"/>
      <c r="AE15" s="56"/>
      <c r="AF15" s="56"/>
      <c r="AG15" s="58"/>
      <c r="AH15" s="56"/>
      <c r="AI15" s="56" t="str">
        <f t="shared" si="14"/>
        <v/>
      </c>
      <c r="AJ15" s="58" t="str">
        <f t="shared" si="14"/>
        <v/>
      </c>
      <c r="AK15" s="56" t="str">
        <f t="shared" si="14"/>
        <v/>
      </c>
      <c r="AL15" s="56" t="str">
        <f t="shared" si="14"/>
        <v/>
      </c>
      <c r="AM15" s="56" t="str">
        <f t="shared" si="14"/>
        <v/>
      </c>
      <c r="AN15" s="58"/>
      <c r="AO15" s="56"/>
      <c r="AP15" s="56" t="str">
        <f t="shared" si="14"/>
        <v/>
      </c>
      <c r="AQ15" s="58" t="str">
        <f t="shared" si="14"/>
        <v/>
      </c>
      <c r="AR15" s="56" t="str">
        <f t="shared" si="3"/>
        <v/>
      </c>
      <c r="AS15" s="56" t="str">
        <f t="shared" si="4"/>
        <v/>
      </c>
      <c r="AT15" s="56">
        <f t="shared" si="5"/>
        <v>1</v>
      </c>
      <c r="AU15" s="56" t="str">
        <f t="shared" si="6"/>
        <v/>
      </c>
      <c r="AV15" s="56">
        <f t="shared" si="9"/>
        <v>1</v>
      </c>
      <c r="AW15" s="56" t="s">
        <v>323</v>
      </c>
      <c r="AX15" s="59" t="s">
        <v>364</v>
      </c>
      <c r="AY15" s="59">
        <v>9082937045</v>
      </c>
      <c r="AZ15" s="56" t="s">
        <v>336</v>
      </c>
      <c r="BA15" s="59">
        <v>8039162381</v>
      </c>
      <c r="BB15" s="118" t="s">
        <v>326</v>
      </c>
      <c r="BC15" s="56">
        <v>3</v>
      </c>
      <c r="BD15" s="88"/>
      <c r="BE15" s="53"/>
      <c r="BF15" s="55"/>
    </row>
    <row r="16" spans="1:58" s="54" customFormat="1" ht="24" customHeight="1" x14ac:dyDescent="0.45">
      <c r="A16" s="72">
        <v>12</v>
      </c>
      <c r="B16" s="57" t="s">
        <v>367</v>
      </c>
      <c r="C16" s="57"/>
      <c r="D16" s="57"/>
      <c r="E16" s="57"/>
      <c r="F16" s="57"/>
      <c r="G16" s="57"/>
      <c r="H16" s="57"/>
      <c r="I16" s="57"/>
      <c r="J16" s="57"/>
      <c r="K16" s="57"/>
      <c r="L16" s="57"/>
      <c r="M16" s="56"/>
      <c r="N16" s="56"/>
      <c r="O16" s="56"/>
      <c r="P16" s="56"/>
      <c r="Q16" s="56"/>
      <c r="R16" s="56"/>
      <c r="S16" s="56"/>
      <c r="T16" s="56"/>
      <c r="U16" s="56"/>
      <c r="V16" s="56"/>
      <c r="W16" s="56"/>
      <c r="X16" s="56"/>
      <c r="Y16" s="56"/>
      <c r="Z16" s="56"/>
      <c r="AA16" s="56"/>
      <c r="AB16" s="56"/>
      <c r="AC16" s="56"/>
      <c r="AD16" s="58"/>
      <c r="AE16" s="56" t="s">
        <v>352</v>
      </c>
      <c r="AF16" s="76" t="s">
        <v>319</v>
      </c>
      <c r="AG16" s="56" t="s">
        <v>319</v>
      </c>
      <c r="AH16" s="56" t="s">
        <v>319</v>
      </c>
      <c r="AI16" s="56" t="s">
        <v>320</v>
      </c>
      <c r="AJ16" s="56"/>
      <c r="AK16" s="56"/>
      <c r="AL16" s="56"/>
      <c r="AM16" s="56"/>
      <c r="AN16" s="56"/>
      <c r="AO16" s="56"/>
      <c r="AP16" s="56"/>
      <c r="AQ16" s="56"/>
      <c r="AR16" s="56">
        <f t="shared" si="3"/>
        <v>1</v>
      </c>
      <c r="AS16" s="56">
        <f t="shared" si="4"/>
        <v>3</v>
      </c>
      <c r="AT16" s="56">
        <f t="shared" si="5"/>
        <v>1</v>
      </c>
      <c r="AU16" s="56" t="str">
        <f t="shared" si="6"/>
        <v/>
      </c>
      <c r="AV16" s="56">
        <f t="shared" si="9"/>
        <v>5</v>
      </c>
      <c r="AW16" s="56" t="s">
        <v>330</v>
      </c>
      <c r="AX16" s="56" t="s">
        <v>368</v>
      </c>
      <c r="AY16" s="59">
        <v>98037966964</v>
      </c>
      <c r="AZ16" s="56" t="s">
        <v>369</v>
      </c>
      <c r="BA16" s="59">
        <v>8064920886</v>
      </c>
      <c r="BB16" s="66" t="s">
        <v>347</v>
      </c>
      <c r="BC16" s="56">
        <v>2</v>
      </c>
      <c r="BD16" s="88"/>
      <c r="BE16" s="53"/>
      <c r="BF16" s="55"/>
    </row>
    <row r="17" spans="1:58" s="54" customFormat="1" ht="24" customHeight="1" x14ac:dyDescent="0.45">
      <c r="A17" s="72">
        <v>13</v>
      </c>
      <c r="B17" s="57" t="s">
        <v>370</v>
      </c>
      <c r="C17" s="57"/>
      <c r="D17" s="57"/>
      <c r="E17" s="57"/>
      <c r="F17" s="57"/>
      <c r="G17" s="57"/>
      <c r="H17" s="57"/>
      <c r="I17" s="57"/>
      <c r="J17" s="57"/>
      <c r="K17" s="57"/>
      <c r="L17" s="57"/>
      <c r="M17" s="56"/>
      <c r="N17" s="56"/>
      <c r="O17" s="56"/>
      <c r="P17" s="56"/>
      <c r="Q17" s="56" t="s">
        <v>318</v>
      </c>
      <c r="R17" s="56" t="s">
        <v>319</v>
      </c>
      <c r="S17" s="56" t="s">
        <v>320</v>
      </c>
      <c r="T17" s="56"/>
      <c r="U17" s="56"/>
      <c r="V17" s="56"/>
      <c r="W17" s="56"/>
      <c r="X17" s="56"/>
      <c r="Y17" s="56"/>
      <c r="Z17" s="56"/>
      <c r="AA17" s="56"/>
      <c r="AB17" s="56"/>
      <c r="AC17" s="58"/>
      <c r="AD17" s="56"/>
      <c r="AE17" s="56"/>
      <c r="AF17" s="56"/>
      <c r="AG17" s="56"/>
      <c r="AH17" s="56"/>
      <c r="AI17" s="56"/>
      <c r="AJ17" s="56"/>
      <c r="AK17" s="56"/>
      <c r="AL17" s="58" t="s">
        <v>352</v>
      </c>
      <c r="AM17" s="146" t="s">
        <v>319</v>
      </c>
      <c r="AN17" s="146" t="s">
        <v>320</v>
      </c>
      <c r="AP17" s="56"/>
      <c r="AQ17" s="58"/>
      <c r="AR17" s="56">
        <f t="shared" si="3"/>
        <v>2</v>
      </c>
      <c r="AS17" s="56">
        <f t="shared" si="4"/>
        <v>2</v>
      </c>
      <c r="AT17" s="56">
        <f t="shared" si="5"/>
        <v>2</v>
      </c>
      <c r="AU17" s="56" t="str">
        <f t="shared" si="6"/>
        <v/>
      </c>
      <c r="AV17" s="56">
        <f t="shared" si="9"/>
        <v>6</v>
      </c>
      <c r="AW17" s="56" t="s">
        <v>323</v>
      </c>
      <c r="AX17" s="56" t="s">
        <v>371</v>
      </c>
      <c r="AY17" s="59">
        <v>9082930790</v>
      </c>
      <c r="AZ17" s="56" t="s">
        <v>372</v>
      </c>
      <c r="BA17" s="59">
        <v>7083029211</v>
      </c>
      <c r="BB17" s="66" t="s">
        <v>337</v>
      </c>
      <c r="BC17" s="56">
        <v>3</v>
      </c>
      <c r="BD17" s="88"/>
      <c r="BE17" s="61" t="s">
        <v>365</v>
      </c>
      <c r="BF17" s="55" t="s">
        <v>366</v>
      </c>
    </row>
    <row r="18" spans="1:58" s="54" customFormat="1" ht="24" customHeight="1" x14ac:dyDescent="0.45">
      <c r="A18" s="72">
        <v>14</v>
      </c>
      <c r="B18" s="57" t="s">
        <v>361</v>
      </c>
      <c r="C18" s="57"/>
      <c r="D18" s="57"/>
      <c r="E18" s="57"/>
      <c r="F18" s="57"/>
      <c r="G18" s="57"/>
      <c r="H18" s="57"/>
      <c r="I18" s="57"/>
      <c r="J18" s="57"/>
      <c r="K18" s="57"/>
      <c r="L18" s="57"/>
      <c r="M18" s="56" t="s">
        <v>319</v>
      </c>
      <c r="N18" s="76" t="s">
        <v>319</v>
      </c>
      <c r="O18" s="72" t="s">
        <v>319</v>
      </c>
      <c r="P18" s="72" t="s">
        <v>319</v>
      </c>
      <c r="Q18" s="76" t="s">
        <v>319</v>
      </c>
      <c r="R18" s="72" t="s">
        <v>319</v>
      </c>
      <c r="S18" s="72" t="s">
        <v>319</v>
      </c>
      <c r="T18" s="72" t="s">
        <v>319</v>
      </c>
      <c r="U18" s="76" t="s">
        <v>319</v>
      </c>
      <c r="V18" s="72" t="s">
        <v>319</v>
      </c>
      <c r="W18" s="72" t="s">
        <v>319</v>
      </c>
      <c r="X18" s="76" t="s">
        <v>319</v>
      </c>
      <c r="Y18" s="72" t="s">
        <v>319</v>
      </c>
      <c r="Z18" s="72" t="s">
        <v>319</v>
      </c>
      <c r="AA18" s="72" t="s">
        <v>319</v>
      </c>
      <c r="AB18" s="76" t="s">
        <v>319</v>
      </c>
      <c r="AC18" s="72" t="s">
        <v>319</v>
      </c>
      <c r="AD18" s="72" t="s">
        <v>319</v>
      </c>
      <c r="AE18" s="76" t="s">
        <v>319</v>
      </c>
      <c r="AF18" s="72" t="s">
        <v>319</v>
      </c>
      <c r="AG18" s="72" t="s">
        <v>319</v>
      </c>
      <c r="AH18" s="72" t="s">
        <v>319</v>
      </c>
      <c r="AI18" s="76" t="s">
        <v>319</v>
      </c>
      <c r="AJ18" s="72" t="s">
        <v>319</v>
      </c>
      <c r="AK18" s="72" t="s">
        <v>319</v>
      </c>
      <c r="AL18" s="76" t="s">
        <v>319</v>
      </c>
      <c r="AM18" s="72" t="s">
        <v>319</v>
      </c>
      <c r="AN18" s="72" t="s">
        <v>319</v>
      </c>
      <c r="AO18" s="72" t="s">
        <v>319</v>
      </c>
      <c r="AP18" s="76" t="s">
        <v>319</v>
      </c>
      <c r="AQ18" s="56"/>
      <c r="AR18" s="56" t="str">
        <f t="shared" si="3"/>
        <v/>
      </c>
      <c r="AS18" s="56">
        <f t="shared" si="4"/>
        <v>30</v>
      </c>
      <c r="AT18" s="56" t="str">
        <f t="shared" si="5"/>
        <v/>
      </c>
      <c r="AU18" s="56" t="str">
        <f t="shared" si="6"/>
        <v/>
      </c>
      <c r="AV18" s="56">
        <f t="shared" si="9"/>
        <v>30</v>
      </c>
      <c r="AW18" s="56" t="s">
        <v>323</v>
      </c>
      <c r="AX18" s="56" t="s">
        <v>362</v>
      </c>
      <c r="AY18" s="59">
        <v>9075855328</v>
      </c>
      <c r="AZ18" s="56" t="s">
        <v>336</v>
      </c>
      <c r="BA18" s="59">
        <v>8039162381</v>
      </c>
      <c r="BB18" s="66" t="s">
        <v>337</v>
      </c>
      <c r="BC18" s="56">
        <v>1</v>
      </c>
      <c r="BD18" s="88"/>
      <c r="BE18" s="61"/>
      <c r="BF18" s="55"/>
    </row>
    <row r="19" spans="1:58" s="54" customFormat="1" ht="24" customHeight="1" x14ac:dyDescent="0.45">
      <c r="A19" s="72">
        <v>15</v>
      </c>
      <c r="B19" s="57" t="s">
        <v>373</v>
      </c>
      <c r="C19" s="57"/>
      <c r="D19" s="57"/>
      <c r="E19" s="57"/>
      <c r="F19" s="57"/>
      <c r="G19" s="57"/>
      <c r="H19" s="57"/>
      <c r="I19" s="57"/>
      <c r="J19" s="57"/>
      <c r="K19" s="57"/>
      <c r="L19" s="57"/>
      <c r="M19" s="56"/>
      <c r="N19" s="56"/>
      <c r="O19" s="58"/>
      <c r="P19" s="56"/>
      <c r="Q19" s="56"/>
      <c r="R19" s="56"/>
      <c r="S19" s="56"/>
      <c r="T19" s="56"/>
      <c r="U19" s="56"/>
      <c r="V19" s="56"/>
      <c r="W19" s="56"/>
      <c r="X19" s="56"/>
      <c r="Y19" s="56"/>
      <c r="Z19" s="56"/>
      <c r="AA19" s="58"/>
      <c r="AB19" s="72"/>
      <c r="AC19" s="56"/>
      <c r="AD19" s="56"/>
      <c r="AE19" s="58"/>
      <c r="AF19" s="56"/>
      <c r="AG19" s="56"/>
      <c r="AH19" s="56"/>
      <c r="AI19" s="57"/>
      <c r="AJ19" s="56"/>
      <c r="AK19" s="56"/>
      <c r="AL19" s="56"/>
      <c r="AM19" s="56"/>
      <c r="AN19" s="56"/>
      <c r="AO19" s="56"/>
      <c r="AP19" s="56"/>
      <c r="AQ19" s="56"/>
      <c r="AR19" s="56" t="str">
        <f t="shared" si="3"/>
        <v/>
      </c>
      <c r="AS19" s="56" t="str">
        <f t="shared" si="4"/>
        <v/>
      </c>
      <c r="AT19" s="56" t="str">
        <f t="shared" si="5"/>
        <v/>
      </c>
      <c r="AU19" s="56" t="str">
        <f t="shared" si="6"/>
        <v/>
      </c>
      <c r="AV19" s="56" t="str">
        <f t="shared" si="9"/>
        <v/>
      </c>
      <c r="AW19" s="56" t="s">
        <v>323</v>
      </c>
      <c r="AX19" s="56" t="s">
        <v>374</v>
      </c>
      <c r="AY19" s="59">
        <v>8064937799</v>
      </c>
      <c r="AZ19" s="56" t="s">
        <v>375</v>
      </c>
      <c r="BA19" s="59">
        <v>8075301442</v>
      </c>
      <c r="BB19" s="66" t="s">
        <v>326</v>
      </c>
      <c r="BC19" s="56">
        <v>3</v>
      </c>
      <c r="BD19" s="88"/>
      <c r="BE19" s="61"/>
      <c r="BF19" s="55"/>
    </row>
    <row r="20" spans="1:58" s="54" customFormat="1" ht="24" customHeight="1" x14ac:dyDescent="0.45">
      <c r="A20" s="72">
        <v>16</v>
      </c>
      <c r="B20" s="57" t="s">
        <v>526</v>
      </c>
      <c r="C20" s="57"/>
      <c r="D20" s="57"/>
      <c r="E20" s="57"/>
      <c r="F20" s="57"/>
      <c r="G20" s="57"/>
      <c r="H20" s="57"/>
      <c r="I20" s="57"/>
      <c r="J20" s="57"/>
      <c r="K20" s="57"/>
      <c r="L20" s="57"/>
      <c r="M20" s="56"/>
      <c r="N20" s="56"/>
      <c r="O20" s="56"/>
      <c r="P20" s="56"/>
      <c r="Q20" s="56"/>
      <c r="R20" s="56"/>
      <c r="S20" s="56"/>
      <c r="T20" s="56"/>
      <c r="U20" s="56"/>
      <c r="V20" s="56" t="s">
        <v>318</v>
      </c>
      <c r="W20" s="56" t="s">
        <v>319</v>
      </c>
      <c r="X20" s="76" t="s">
        <v>319</v>
      </c>
      <c r="Y20" s="56" t="s">
        <v>319</v>
      </c>
      <c r="Z20" s="58" t="s">
        <v>482</v>
      </c>
      <c r="AA20" s="72"/>
      <c r="AB20" s="72"/>
      <c r="AC20" s="72"/>
      <c r="AD20" s="72"/>
      <c r="AE20" s="72"/>
      <c r="AF20" s="72"/>
      <c r="AG20" s="72"/>
      <c r="AH20" s="72"/>
      <c r="AI20" s="72"/>
      <c r="AJ20" s="72"/>
      <c r="AK20" s="72"/>
      <c r="AL20" s="72"/>
      <c r="AM20" s="72"/>
      <c r="AN20" s="72"/>
      <c r="AO20" s="72"/>
      <c r="AP20" s="72"/>
      <c r="AQ20" s="56"/>
      <c r="AR20" s="56">
        <f t="shared" si="3"/>
        <v>1</v>
      </c>
      <c r="AS20" s="56">
        <f t="shared" si="4"/>
        <v>3</v>
      </c>
      <c r="AT20" s="56" t="str">
        <f t="shared" si="5"/>
        <v/>
      </c>
      <c r="AU20" s="56" t="str">
        <f t="shared" si="6"/>
        <v/>
      </c>
      <c r="AV20" s="56">
        <f t="shared" si="9"/>
        <v>4</v>
      </c>
      <c r="AW20" s="56" t="s">
        <v>330</v>
      </c>
      <c r="AX20" s="56" t="s">
        <v>527</v>
      </c>
      <c r="AY20" s="59">
        <v>9068642455</v>
      </c>
      <c r="AZ20" s="56" t="s">
        <v>398</v>
      </c>
      <c r="BA20" s="59">
        <v>9068599322</v>
      </c>
      <c r="BB20" s="66" t="s">
        <v>326</v>
      </c>
      <c r="BC20" s="56">
        <v>4</v>
      </c>
      <c r="BD20" s="88"/>
      <c r="BE20" s="61"/>
      <c r="BF20" s="55"/>
    </row>
    <row r="21" spans="1:58" s="54" customFormat="1" ht="24" customHeight="1" x14ac:dyDescent="0.45">
      <c r="A21" s="72">
        <v>17</v>
      </c>
      <c r="B21" s="57" t="s">
        <v>528</v>
      </c>
      <c r="C21" s="57"/>
      <c r="D21" s="57"/>
      <c r="E21" s="57"/>
      <c r="F21" s="57"/>
      <c r="G21" s="57"/>
      <c r="H21" s="57"/>
      <c r="I21" s="57"/>
      <c r="J21" s="57"/>
      <c r="K21" s="57"/>
      <c r="L21" s="57"/>
      <c r="M21" s="56"/>
      <c r="N21" s="56"/>
      <c r="O21" s="56"/>
      <c r="P21" s="56"/>
      <c r="Q21" s="56"/>
      <c r="R21" s="56"/>
      <c r="S21" s="56"/>
      <c r="T21" s="56"/>
      <c r="U21" s="56" t="s">
        <v>318</v>
      </c>
      <c r="V21" s="56" t="s">
        <v>319</v>
      </c>
      <c r="W21" s="56" t="s">
        <v>320</v>
      </c>
      <c r="X21" s="56"/>
      <c r="Y21" s="56"/>
      <c r="Z21" s="56"/>
      <c r="AA21" s="56"/>
      <c r="AB21" s="56"/>
      <c r="AC21" s="56"/>
      <c r="AD21" s="56"/>
      <c r="AE21" s="56"/>
      <c r="AF21" s="56"/>
      <c r="AG21" s="56"/>
      <c r="AH21" s="56"/>
      <c r="AI21" s="56"/>
      <c r="AJ21" s="56"/>
      <c r="AK21" s="56"/>
      <c r="AL21" s="56"/>
      <c r="AM21" s="56"/>
      <c r="AN21" s="56"/>
      <c r="AO21" s="56"/>
      <c r="AP21" s="56"/>
      <c r="AQ21" s="56"/>
      <c r="AR21" s="56">
        <f t="shared" si="3"/>
        <v>1</v>
      </c>
      <c r="AS21" s="56">
        <f t="shared" si="4"/>
        <v>1</v>
      </c>
      <c r="AT21" s="56">
        <f t="shared" si="5"/>
        <v>1</v>
      </c>
      <c r="AU21" s="56" t="str">
        <f t="shared" si="6"/>
        <v/>
      </c>
      <c r="AV21" s="56">
        <f t="shared" si="9"/>
        <v>3</v>
      </c>
      <c r="AW21" s="56" t="s">
        <v>330</v>
      </c>
      <c r="AX21" s="56" t="s">
        <v>477</v>
      </c>
      <c r="AY21" s="59">
        <v>9010898537</v>
      </c>
      <c r="AZ21" s="56" t="s">
        <v>478</v>
      </c>
      <c r="BA21" s="59">
        <v>8030173230</v>
      </c>
      <c r="BB21" s="66" t="s">
        <v>337</v>
      </c>
      <c r="BC21" s="56">
        <v>3</v>
      </c>
      <c r="BD21" s="88"/>
      <c r="BE21" s="61"/>
      <c r="BF21" s="55"/>
    </row>
    <row r="22" spans="1:58" s="54" customFormat="1" ht="24" customHeight="1" x14ac:dyDescent="0.45">
      <c r="A22" s="72">
        <v>18</v>
      </c>
      <c r="B22" s="57" t="s">
        <v>529</v>
      </c>
      <c r="C22" s="57"/>
      <c r="D22" s="57"/>
      <c r="E22" s="57"/>
      <c r="F22" s="57"/>
      <c r="G22" s="57"/>
      <c r="H22" s="57"/>
      <c r="I22" s="57"/>
      <c r="J22" s="57"/>
      <c r="K22" s="57"/>
      <c r="L22" s="57"/>
      <c r="M22" s="56" t="str">
        <f>IF(M$4="月","昼",IF(M$4="火","○",IF(M$4="水","○",IF(M$4="木","お",""))))</f>
        <v>昼</v>
      </c>
      <c r="N22" s="56" t="str">
        <f t="shared" ref="N22:AQ22" si="15">IF(N$4="月","昼",IF(N$4="火","○",IF(N$4="水","○",IF(N$4="木","お",""))))</f>
        <v>○</v>
      </c>
      <c r="O22" s="56" t="str">
        <f t="shared" si="15"/>
        <v>○</v>
      </c>
      <c r="P22" s="56" t="str">
        <f t="shared" si="15"/>
        <v>お</v>
      </c>
      <c r="Q22" s="56" t="str">
        <f t="shared" si="15"/>
        <v/>
      </c>
      <c r="R22" s="56" t="str">
        <f t="shared" si="15"/>
        <v/>
      </c>
      <c r="S22" s="56" t="str">
        <f t="shared" si="15"/>
        <v/>
      </c>
      <c r="T22" s="56" t="str">
        <f t="shared" si="15"/>
        <v>昼</v>
      </c>
      <c r="U22" s="56" t="str">
        <f t="shared" si="15"/>
        <v>○</v>
      </c>
      <c r="V22" s="56" t="str">
        <f t="shared" si="15"/>
        <v>○</v>
      </c>
      <c r="W22" s="56" t="str">
        <f t="shared" si="15"/>
        <v>お</v>
      </c>
      <c r="X22" s="56" t="str">
        <f t="shared" si="15"/>
        <v/>
      </c>
      <c r="Y22" s="56" t="str">
        <f t="shared" si="15"/>
        <v/>
      </c>
      <c r="Z22" s="56" t="str">
        <f t="shared" si="15"/>
        <v/>
      </c>
      <c r="AA22" s="146" t="str">
        <f t="shared" si="15"/>
        <v>昼</v>
      </c>
      <c r="AB22" s="56" t="str">
        <f t="shared" si="15"/>
        <v>○</v>
      </c>
      <c r="AC22" s="56" t="str">
        <f t="shared" si="15"/>
        <v>○</v>
      </c>
      <c r="AD22" s="56" t="str">
        <f t="shared" si="15"/>
        <v>お</v>
      </c>
      <c r="AE22" s="56" t="str">
        <f t="shared" si="15"/>
        <v/>
      </c>
      <c r="AF22" s="56" t="str">
        <f t="shared" si="15"/>
        <v/>
      </c>
      <c r="AG22" s="56" t="str">
        <f t="shared" si="15"/>
        <v/>
      </c>
      <c r="AH22" s="146" t="s">
        <v>318</v>
      </c>
      <c r="AI22" s="56" t="s">
        <v>319</v>
      </c>
      <c r="AJ22" s="56" t="str">
        <f t="shared" si="15"/>
        <v>○</v>
      </c>
      <c r="AK22" s="56" t="str">
        <f t="shared" si="15"/>
        <v>お</v>
      </c>
      <c r="AL22" s="56" t="str">
        <f t="shared" si="15"/>
        <v/>
      </c>
      <c r="AM22" s="56" t="str">
        <f t="shared" si="15"/>
        <v/>
      </c>
      <c r="AN22" s="56" t="str">
        <f t="shared" si="15"/>
        <v/>
      </c>
      <c r="AO22" s="145" t="str">
        <f t="shared" si="15"/>
        <v>昼</v>
      </c>
      <c r="AP22" s="56" t="str">
        <f t="shared" si="15"/>
        <v>○</v>
      </c>
      <c r="AQ22" s="56" t="str">
        <f t="shared" si="15"/>
        <v/>
      </c>
      <c r="AR22" s="56">
        <f t="shared" si="3"/>
        <v>5</v>
      </c>
      <c r="AS22" s="56">
        <f t="shared" si="4"/>
        <v>9</v>
      </c>
      <c r="AT22" s="56">
        <f t="shared" si="5"/>
        <v>4</v>
      </c>
      <c r="AU22" s="56" t="str">
        <f t="shared" si="6"/>
        <v/>
      </c>
      <c r="AV22" s="56">
        <f t="shared" si="9"/>
        <v>18</v>
      </c>
      <c r="AW22" s="56" t="s">
        <v>323</v>
      </c>
      <c r="AX22" s="56" t="s">
        <v>379</v>
      </c>
      <c r="AY22" s="59">
        <v>9019438341</v>
      </c>
      <c r="AZ22" s="56" t="s">
        <v>380</v>
      </c>
      <c r="BA22" s="59">
        <v>8033750538</v>
      </c>
      <c r="BB22" s="66" t="s">
        <v>347</v>
      </c>
      <c r="BC22" s="56">
        <v>3</v>
      </c>
      <c r="BD22" s="88"/>
      <c r="BE22" s="61"/>
      <c r="BF22" s="55"/>
    </row>
    <row r="23" spans="1:58" s="54" customFormat="1" ht="24" customHeight="1" x14ac:dyDescent="0.45">
      <c r="A23" s="72">
        <v>19</v>
      </c>
      <c r="B23" s="57" t="s">
        <v>530</v>
      </c>
      <c r="C23" s="57"/>
      <c r="D23" s="57"/>
      <c r="E23" s="57"/>
      <c r="F23" s="57"/>
      <c r="G23" s="57"/>
      <c r="H23" s="57"/>
      <c r="I23" s="57"/>
      <c r="J23" s="57"/>
      <c r="K23" s="57"/>
      <c r="L23" s="57"/>
      <c r="M23" s="56"/>
      <c r="N23" s="56"/>
      <c r="O23" s="56"/>
      <c r="P23" s="56" t="str">
        <f t="shared" ref="P23:AQ23" si="16">IF(P$4="火","昼",IF(P$4="水","お",""))</f>
        <v/>
      </c>
      <c r="Q23" s="56" t="str">
        <f t="shared" si="16"/>
        <v/>
      </c>
      <c r="R23" s="56" t="str">
        <f t="shared" si="16"/>
        <v/>
      </c>
      <c r="S23" s="56" t="str">
        <f t="shared" si="16"/>
        <v/>
      </c>
      <c r="T23" s="56" t="str">
        <f t="shared" si="16"/>
        <v/>
      </c>
      <c r="U23" s="56" t="str">
        <f t="shared" si="16"/>
        <v>昼</v>
      </c>
      <c r="V23" s="56" t="str">
        <f t="shared" si="16"/>
        <v>お</v>
      </c>
      <c r="W23" s="56" t="str">
        <f t="shared" si="16"/>
        <v/>
      </c>
      <c r="X23" s="56" t="str">
        <f t="shared" si="16"/>
        <v/>
      </c>
      <c r="Y23" s="56" t="str">
        <f t="shared" si="16"/>
        <v/>
      </c>
      <c r="Z23" s="56" t="str">
        <f t="shared" si="16"/>
        <v/>
      </c>
      <c r="AA23" s="56" t="str">
        <f t="shared" si="16"/>
        <v/>
      </c>
      <c r="AB23" s="56"/>
      <c r="AC23" s="56"/>
      <c r="AD23" s="56" t="str">
        <f t="shared" si="16"/>
        <v/>
      </c>
      <c r="AE23" s="56" t="str">
        <f t="shared" si="16"/>
        <v/>
      </c>
      <c r="AF23" s="56" t="str">
        <f t="shared" si="16"/>
        <v/>
      </c>
      <c r="AG23" s="56" t="str">
        <f t="shared" si="16"/>
        <v/>
      </c>
      <c r="AH23" s="56" t="str">
        <f t="shared" si="16"/>
        <v/>
      </c>
      <c r="AI23" s="56" t="str">
        <f t="shared" si="16"/>
        <v>昼</v>
      </c>
      <c r="AJ23" s="56" t="str">
        <f t="shared" si="16"/>
        <v>お</v>
      </c>
      <c r="AK23" s="56" t="str">
        <f t="shared" si="16"/>
        <v/>
      </c>
      <c r="AL23" s="56" t="str">
        <f t="shared" si="16"/>
        <v/>
      </c>
      <c r="AM23" s="56" t="str">
        <f t="shared" si="16"/>
        <v/>
      </c>
      <c r="AN23" s="56" t="str">
        <f t="shared" si="16"/>
        <v/>
      </c>
      <c r="AO23" s="56" t="str">
        <f t="shared" si="16"/>
        <v/>
      </c>
      <c r="AP23" s="56" t="str">
        <f t="shared" si="16"/>
        <v>昼</v>
      </c>
      <c r="AQ23" s="56" t="str">
        <f t="shared" si="16"/>
        <v/>
      </c>
      <c r="AR23" s="56">
        <f t="shared" si="3"/>
        <v>3</v>
      </c>
      <c r="AS23" s="56" t="str">
        <f t="shared" si="4"/>
        <v/>
      </c>
      <c r="AT23" s="56">
        <f t="shared" si="5"/>
        <v>2</v>
      </c>
      <c r="AU23" s="56" t="str">
        <f t="shared" si="6"/>
        <v/>
      </c>
      <c r="AV23" s="56">
        <f t="shared" si="9"/>
        <v>5</v>
      </c>
      <c r="AW23" s="56" t="s">
        <v>323</v>
      </c>
      <c r="AX23" s="56" t="s">
        <v>382</v>
      </c>
      <c r="AY23" s="59">
        <v>8017623199</v>
      </c>
      <c r="AZ23" s="56" t="s">
        <v>383</v>
      </c>
      <c r="BA23" s="59">
        <v>9014956645</v>
      </c>
      <c r="BB23" s="66" t="s">
        <v>326</v>
      </c>
      <c r="BC23" s="56">
        <v>3</v>
      </c>
      <c r="BD23" s="88"/>
      <c r="BE23" s="61"/>
      <c r="BF23" s="55"/>
    </row>
    <row r="24" spans="1:58" s="54" customFormat="1" ht="24" customHeight="1" x14ac:dyDescent="0.45">
      <c r="A24" s="72">
        <v>20</v>
      </c>
      <c r="B24" s="57" t="s">
        <v>531</v>
      </c>
      <c r="C24" s="57"/>
      <c r="D24" s="57"/>
      <c r="E24" s="57"/>
      <c r="F24" s="57"/>
      <c r="G24" s="57"/>
      <c r="H24" s="57"/>
      <c r="I24" s="57"/>
      <c r="J24" s="57"/>
      <c r="K24" s="57"/>
      <c r="L24" s="57"/>
      <c r="M24" s="56"/>
      <c r="N24" s="56"/>
      <c r="O24" s="56"/>
      <c r="P24" s="56"/>
      <c r="Q24" s="56"/>
      <c r="R24" s="56"/>
      <c r="S24" s="56"/>
      <c r="T24" s="56" t="s">
        <v>318</v>
      </c>
      <c r="U24" s="56" t="s">
        <v>320</v>
      </c>
      <c r="V24" s="56"/>
      <c r="W24" s="56"/>
      <c r="X24" s="56"/>
      <c r="Y24" s="56"/>
      <c r="Z24" s="56"/>
      <c r="AA24" s="56"/>
      <c r="AB24" s="56"/>
      <c r="AC24" s="56"/>
      <c r="AD24" s="56" t="s">
        <v>318</v>
      </c>
      <c r="AE24" s="56" t="s">
        <v>320</v>
      </c>
      <c r="AF24" s="56"/>
      <c r="AG24" s="56"/>
      <c r="AH24" s="56"/>
      <c r="AI24" s="56"/>
      <c r="AJ24" s="56"/>
      <c r="AK24" s="56"/>
      <c r="AL24" s="56"/>
      <c r="AM24" s="56"/>
      <c r="AN24" s="56"/>
      <c r="AO24" s="56"/>
      <c r="AP24" s="56"/>
      <c r="AQ24" s="56"/>
      <c r="AR24" s="56">
        <f t="shared" si="3"/>
        <v>2</v>
      </c>
      <c r="AS24" s="56" t="str">
        <f t="shared" si="4"/>
        <v/>
      </c>
      <c r="AT24" s="56">
        <f t="shared" si="5"/>
        <v>2</v>
      </c>
      <c r="AU24" s="56" t="str">
        <f t="shared" si="6"/>
        <v/>
      </c>
      <c r="AV24" s="56">
        <f t="shared" si="9"/>
        <v>4</v>
      </c>
      <c r="AW24" s="56" t="s">
        <v>323</v>
      </c>
      <c r="AX24" s="56" t="s">
        <v>385</v>
      </c>
      <c r="AY24" s="59">
        <v>9097877632</v>
      </c>
      <c r="AZ24" s="56" t="s">
        <v>386</v>
      </c>
      <c r="BA24" s="59">
        <v>8085695618</v>
      </c>
      <c r="BB24" s="66" t="s">
        <v>326</v>
      </c>
      <c r="BC24" s="56">
        <v>3</v>
      </c>
      <c r="BD24" s="88"/>
      <c r="BE24" s="61"/>
      <c r="BF24" s="55"/>
    </row>
    <row r="25" spans="1:58" s="54" customFormat="1" ht="24" customHeight="1" x14ac:dyDescent="0.45">
      <c r="A25" s="72">
        <v>21</v>
      </c>
      <c r="B25" s="57" t="s">
        <v>532</v>
      </c>
      <c r="C25" s="57"/>
      <c r="D25" s="57"/>
      <c r="E25" s="57"/>
      <c r="F25" s="57"/>
      <c r="G25" s="57"/>
      <c r="H25" s="57"/>
      <c r="I25" s="57"/>
      <c r="J25" s="57"/>
      <c r="K25" s="57"/>
      <c r="L25" s="57"/>
      <c r="M25" s="56"/>
      <c r="N25" s="56"/>
      <c r="O25" s="56"/>
      <c r="P25" s="56"/>
      <c r="Q25" s="56"/>
      <c r="R25" s="56"/>
      <c r="S25" s="56"/>
      <c r="T25" s="56"/>
      <c r="U25" s="56"/>
      <c r="V25" s="56"/>
      <c r="W25" s="56"/>
      <c r="X25" s="56"/>
      <c r="Y25" s="56"/>
      <c r="Z25" s="56"/>
      <c r="AA25" s="56"/>
      <c r="AB25" s="56"/>
      <c r="AC25" s="56" t="s">
        <v>318</v>
      </c>
      <c r="AD25" s="56" t="s">
        <v>319</v>
      </c>
      <c r="AE25" s="56" t="s">
        <v>320</v>
      </c>
      <c r="AF25" s="56"/>
      <c r="AG25" s="56"/>
      <c r="AH25" s="56"/>
      <c r="AI25" s="56"/>
      <c r="AJ25" s="56" t="s">
        <v>318</v>
      </c>
      <c r="AK25" s="56" t="s">
        <v>319</v>
      </c>
      <c r="AL25" s="56" t="s">
        <v>320</v>
      </c>
      <c r="AM25" s="56"/>
      <c r="AN25" s="56"/>
      <c r="AO25" s="56"/>
      <c r="AP25" s="56"/>
      <c r="AQ25" s="56"/>
      <c r="AR25" s="56"/>
      <c r="AS25" s="56"/>
      <c r="AT25" s="56"/>
      <c r="AU25" s="56"/>
      <c r="AV25" s="56"/>
      <c r="AW25" s="56"/>
      <c r="AX25" s="56" t="s">
        <v>533</v>
      </c>
      <c r="AY25" s="59">
        <v>9073971616</v>
      </c>
      <c r="AZ25" s="56" t="s">
        <v>461</v>
      </c>
      <c r="BA25" s="59">
        <v>8064847234</v>
      </c>
      <c r="BB25" s="66"/>
      <c r="BC25" s="56">
        <v>1</v>
      </c>
      <c r="BD25" s="88"/>
      <c r="BE25" s="61"/>
      <c r="BF25" s="55"/>
    </row>
    <row r="26" spans="1:58" s="54" customFormat="1" ht="24" customHeight="1" x14ac:dyDescent="0.45">
      <c r="A26" s="72">
        <v>22</v>
      </c>
      <c r="B26" s="57" t="s">
        <v>534</v>
      </c>
      <c r="C26" s="57"/>
      <c r="D26" s="57"/>
      <c r="E26" s="57"/>
      <c r="F26" s="57"/>
      <c r="G26" s="57"/>
      <c r="H26" s="57"/>
      <c r="I26" s="57"/>
      <c r="J26" s="57"/>
      <c r="K26" s="57"/>
      <c r="L26" s="57"/>
      <c r="M26" s="56"/>
      <c r="N26" s="56"/>
      <c r="O26" s="56"/>
      <c r="P26" s="56"/>
      <c r="Q26" s="56"/>
      <c r="R26" s="56"/>
      <c r="S26" s="56"/>
      <c r="T26" s="56"/>
      <c r="U26" s="56"/>
      <c r="V26" s="56"/>
      <c r="W26" s="56"/>
      <c r="X26" s="56"/>
      <c r="Y26" s="58" t="s">
        <v>497</v>
      </c>
      <c r="Z26" s="56" t="s">
        <v>319</v>
      </c>
      <c r="AA26" s="56" t="s">
        <v>319</v>
      </c>
      <c r="AB26" s="56" t="s">
        <v>319</v>
      </c>
      <c r="AC26" s="56" t="s">
        <v>319</v>
      </c>
      <c r="AD26" s="56" t="s">
        <v>319</v>
      </c>
      <c r="AE26" s="56" t="s">
        <v>319</v>
      </c>
      <c r="AF26" s="56" t="s">
        <v>319</v>
      </c>
      <c r="AG26" s="56" t="s">
        <v>319</v>
      </c>
      <c r="AH26" s="56" t="s">
        <v>319</v>
      </c>
      <c r="AI26" s="56" t="s">
        <v>319</v>
      </c>
      <c r="AJ26" s="56" t="s">
        <v>319</v>
      </c>
      <c r="AK26" s="56" t="s">
        <v>319</v>
      </c>
      <c r="AL26" s="56" t="s">
        <v>319</v>
      </c>
      <c r="AM26" s="56" t="s">
        <v>319</v>
      </c>
      <c r="AN26" s="56" t="s">
        <v>319</v>
      </c>
      <c r="AO26" s="56" t="s">
        <v>320</v>
      </c>
      <c r="AP26" s="56"/>
      <c r="AQ26" s="56"/>
      <c r="AR26" s="56"/>
      <c r="AS26" s="56"/>
      <c r="AT26" s="56"/>
      <c r="AU26" s="56"/>
      <c r="AV26" s="56"/>
      <c r="AW26" s="56"/>
      <c r="AX26" s="56"/>
      <c r="AY26" s="59"/>
      <c r="AZ26" s="56"/>
      <c r="BA26" s="59"/>
      <c r="BB26" s="66" t="s">
        <v>541</v>
      </c>
      <c r="BC26" s="56"/>
      <c r="BD26" s="88"/>
      <c r="BE26" s="61"/>
      <c r="BF26" s="55"/>
    </row>
    <row r="27" spans="1:58" s="54" customFormat="1" ht="24" customHeight="1" x14ac:dyDescent="0.45">
      <c r="A27" s="72">
        <v>23</v>
      </c>
      <c r="B27" s="57" t="s">
        <v>540</v>
      </c>
      <c r="C27" s="57"/>
      <c r="D27" s="57"/>
      <c r="E27" s="57"/>
      <c r="F27" s="57"/>
      <c r="G27" s="57"/>
      <c r="H27" s="57"/>
      <c r="I27" s="57"/>
      <c r="J27" s="57"/>
      <c r="K27" s="57"/>
      <c r="L27" s="57"/>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t="s">
        <v>352</v>
      </c>
      <c r="AL27" s="56" t="s">
        <v>319</v>
      </c>
      <c r="AM27" s="56" t="s">
        <v>320</v>
      </c>
      <c r="AO27" s="56"/>
      <c r="AP27" s="56"/>
      <c r="AQ27" s="56"/>
      <c r="AR27" s="56"/>
      <c r="AS27" s="56"/>
      <c r="AT27" s="56"/>
      <c r="AU27" s="56"/>
      <c r="AV27" s="56"/>
      <c r="AW27" s="56"/>
      <c r="AX27" s="56"/>
      <c r="AY27" s="59"/>
      <c r="AZ27" s="56"/>
      <c r="BA27" s="59"/>
      <c r="BB27" s="66"/>
      <c r="BC27" s="56"/>
      <c r="BD27" s="88"/>
      <c r="BE27" s="61"/>
      <c r="BF27" s="55"/>
    </row>
    <row r="28" spans="1:58" s="54" customFormat="1" ht="24" customHeight="1" x14ac:dyDescent="0.45">
      <c r="A28" s="72"/>
      <c r="B28" s="57" t="s">
        <v>387</v>
      </c>
      <c r="C28" s="57"/>
      <c r="D28" s="57"/>
      <c r="E28" s="57"/>
      <c r="F28" s="57"/>
      <c r="G28" s="57"/>
      <c r="H28" s="57"/>
      <c r="I28" s="57"/>
      <c r="J28" s="57"/>
      <c r="K28" s="57"/>
      <c r="L28" s="57"/>
      <c r="M28" s="56">
        <f t="shared" ref="M28:AU28" si="17">COUNTIF(M5:M27,"朝")+COUNTIF(M5:M27,"昼")+COUNTIF(M5:M27,"夕")+COUNTIF(M5:M27,"お")+COUNTIF(M5:M27,"○")</f>
        <v>7</v>
      </c>
      <c r="N28" s="56">
        <f t="shared" si="17"/>
        <v>6</v>
      </c>
      <c r="O28" s="56">
        <f t="shared" si="17"/>
        <v>5</v>
      </c>
      <c r="P28" s="56">
        <f t="shared" si="17"/>
        <v>5</v>
      </c>
      <c r="Q28" s="56">
        <f t="shared" si="17"/>
        <v>5</v>
      </c>
      <c r="R28" s="56">
        <f t="shared" si="17"/>
        <v>8</v>
      </c>
      <c r="S28" s="56">
        <f t="shared" si="17"/>
        <v>8</v>
      </c>
      <c r="T28" s="56">
        <f t="shared" si="17"/>
        <v>7</v>
      </c>
      <c r="U28" s="56">
        <f t="shared" si="17"/>
        <v>8</v>
      </c>
      <c r="V28" s="56">
        <f t="shared" si="17"/>
        <v>8</v>
      </c>
      <c r="W28" s="56">
        <f t="shared" si="17"/>
        <v>8</v>
      </c>
      <c r="X28" s="56">
        <f t="shared" si="17"/>
        <v>5</v>
      </c>
      <c r="Y28" s="56">
        <f t="shared" si="17"/>
        <v>8</v>
      </c>
      <c r="Z28" s="56">
        <f t="shared" si="17"/>
        <v>8</v>
      </c>
      <c r="AA28" s="56">
        <f t="shared" si="17"/>
        <v>8</v>
      </c>
      <c r="AB28" s="56">
        <f t="shared" si="17"/>
        <v>8</v>
      </c>
      <c r="AC28" s="56">
        <f t="shared" si="17"/>
        <v>7</v>
      </c>
      <c r="AD28" s="56">
        <f t="shared" si="17"/>
        <v>9</v>
      </c>
      <c r="AE28" s="56">
        <f t="shared" si="17"/>
        <v>9</v>
      </c>
      <c r="AF28" s="56">
        <f t="shared" si="17"/>
        <v>9</v>
      </c>
      <c r="AG28" s="56">
        <f t="shared" si="17"/>
        <v>9</v>
      </c>
      <c r="AH28" s="56">
        <f t="shared" si="17"/>
        <v>8</v>
      </c>
      <c r="AI28" s="56">
        <f t="shared" si="17"/>
        <v>8</v>
      </c>
      <c r="AJ28" s="56">
        <f t="shared" si="17"/>
        <v>8</v>
      </c>
      <c r="AK28" s="56">
        <f>COUNTIF(AK5:AK27,"朝")+COUNTIF(AK5:AK27,"昼")+COUNTIF(AK5:AK27,"夕")+COUNTIF(AK5:AK27,"お")+COUNTIF(AK5:AK27,"○")</f>
        <v>9</v>
      </c>
      <c r="AL28" s="56">
        <f t="shared" si="17"/>
        <v>8</v>
      </c>
      <c r="AM28" s="56">
        <f t="shared" si="17"/>
        <v>10</v>
      </c>
      <c r="AN28" s="56">
        <f t="shared" si="17"/>
        <v>9</v>
      </c>
      <c r="AO28" s="56">
        <f t="shared" si="17"/>
        <v>9</v>
      </c>
      <c r="AP28" s="56">
        <f t="shared" si="17"/>
        <v>8</v>
      </c>
      <c r="AQ28" s="56">
        <f t="shared" si="17"/>
        <v>0</v>
      </c>
      <c r="AR28" s="56">
        <f t="shared" si="17"/>
        <v>0</v>
      </c>
      <c r="AS28" s="56">
        <f t="shared" si="17"/>
        <v>0</v>
      </c>
      <c r="AT28" s="56">
        <f t="shared" si="17"/>
        <v>0</v>
      </c>
      <c r="AU28" s="56">
        <f t="shared" si="17"/>
        <v>0</v>
      </c>
      <c r="AV28" s="56">
        <f>SUM(M28:AQ28)</f>
        <v>232</v>
      </c>
      <c r="AW28" s="56"/>
      <c r="AX28" s="63" t="s">
        <v>388</v>
      </c>
      <c r="AY28" s="56" t="s">
        <v>389</v>
      </c>
      <c r="AZ28" s="56"/>
      <c r="BA28" s="56"/>
      <c r="BB28" s="56"/>
      <c r="BC28" s="118" t="s">
        <v>390</v>
      </c>
      <c r="BD28" s="88"/>
      <c r="BE28" s="61"/>
      <c r="BF28" s="55"/>
    </row>
    <row r="29" spans="1:58" s="54" customFormat="1" ht="24" customHeight="1" x14ac:dyDescent="0.45">
      <c r="A29" s="72"/>
      <c r="B29" s="45" t="s">
        <v>391</v>
      </c>
      <c r="C29" s="57"/>
      <c r="D29" s="57"/>
      <c r="E29" s="57"/>
      <c r="F29" s="57"/>
      <c r="G29" s="57"/>
      <c r="H29" s="57"/>
      <c r="I29" s="57"/>
      <c r="J29" s="57"/>
      <c r="K29" s="57"/>
      <c r="L29" s="57"/>
      <c r="M29" s="56">
        <f>8-M28</f>
        <v>1</v>
      </c>
      <c r="N29" s="56">
        <f t="shared" ref="N29:AQ29" si="18">8-N28</f>
        <v>2</v>
      </c>
      <c r="O29" s="56">
        <f t="shared" si="18"/>
        <v>3</v>
      </c>
      <c r="P29" s="56">
        <f t="shared" si="18"/>
        <v>3</v>
      </c>
      <c r="Q29" s="56">
        <f t="shared" si="18"/>
        <v>3</v>
      </c>
      <c r="R29" s="56">
        <f t="shared" si="18"/>
        <v>0</v>
      </c>
      <c r="S29" s="56">
        <f t="shared" si="18"/>
        <v>0</v>
      </c>
      <c r="T29" s="56">
        <f t="shared" si="18"/>
        <v>1</v>
      </c>
      <c r="U29" s="56">
        <f t="shared" si="18"/>
        <v>0</v>
      </c>
      <c r="V29" s="56">
        <f t="shared" si="18"/>
        <v>0</v>
      </c>
      <c r="W29" s="56">
        <f t="shared" si="18"/>
        <v>0</v>
      </c>
      <c r="X29" s="56">
        <f t="shared" si="18"/>
        <v>3</v>
      </c>
      <c r="Y29" s="56">
        <f t="shared" si="18"/>
        <v>0</v>
      </c>
      <c r="Z29" s="56">
        <f t="shared" si="18"/>
        <v>0</v>
      </c>
      <c r="AA29" s="56">
        <f t="shared" si="18"/>
        <v>0</v>
      </c>
      <c r="AB29" s="56">
        <f t="shared" si="18"/>
        <v>0</v>
      </c>
      <c r="AC29" s="56">
        <f t="shared" si="18"/>
        <v>1</v>
      </c>
      <c r="AD29" s="56">
        <f t="shared" si="18"/>
        <v>-1</v>
      </c>
      <c r="AE29" s="56">
        <f t="shared" si="18"/>
        <v>-1</v>
      </c>
      <c r="AF29" s="56">
        <f t="shared" si="18"/>
        <v>-1</v>
      </c>
      <c r="AG29" s="56">
        <f t="shared" si="18"/>
        <v>-1</v>
      </c>
      <c r="AH29" s="56">
        <f t="shared" si="18"/>
        <v>0</v>
      </c>
      <c r="AI29" s="56">
        <f t="shared" si="18"/>
        <v>0</v>
      </c>
      <c r="AJ29" s="56">
        <f t="shared" si="18"/>
        <v>0</v>
      </c>
      <c r="AK29" s="56">
        <f t="shared" si="18"/>
        <v>-1</v>
      </c>
      <c r="AL29" s="56">
        <f t="shared" si="18"/>
        <v>0</v>
      </c>
      <c r="AM29" s="56">
        <f t="shared" si="18"/>
        <v>-2</v>
      </c>
      <c r="AN29" s="56">
        <f t="shared" si="18"/>
        <v>-1</v>
      </c>
      <c r="AO29" s="56">
        <f t="shared" si="18"/>
        <v>-1</v>
      </c>
      <c r="AP29" s="56">
        <f t="shared" si="18"/>
        <v>0</v>
      </c>
      <c r="AQ29" s="56">
        <f t="shared" si="18"/>
        <v>8</v>
      </c>
      <c r="AR29" s="56"/>
      <c r="AS29" s="56"/>
      <c r="AT29" s="56"/>
      <c r="AU29" s="56"/>
      <c r="AV29" s="56">
        <f t="shared" ref="AV29:AV32" si="19">SUM(M29:AQ29)</f>
        <v>16</v>
      </c>
      <c r="AW29" s="56"/>
      <c r="AX29" s="63">
        <f>AVERAGE(M28:AQ28)</f>
        <v>7.4838709677419351</v>
      </c>
      <c r="AY29" s="65">
        <f>8*365/12-AV28</f>
        <v>11.333333333333343</v>
      </c>
      <c r="AZ29" s="65"/>
      <c r="BA29" s="65"/>
      <c r="BB29" s="56"/>
      <c r="BC29" s="63">
        <f>AVERAGE(BC5:BC28)</f>
        <v>2.6190476190476191</v>
      </c>
      <c r="BD29" s="88"/>
      <c r="BE29" s="61"/>
      <c r="BF29" s="55"/>
    </row>
    <row r="30" spans="1:58" s="54" customFormat="1" ht="24" customHeight="1" x14ac:dyDescent="0.45">
      <c r="A30" s="72"/>
      <c r="B30" s="57" t="s">
        <v>392</v>
      </c>
      <c r="C30" s="57"/>
      <c r="D30" s="57"/>
      <c r="E30" s="57"/>
      <c r="F30" s="57"/>
      <c r="G30" s="57"/>
      <c r="H30" s="57"/>
      <c r="I30" s="57"/>
      <c r="J30" s="57"/>
      <c r="K30" s="57"/>
      <c r="L30" s="57"/>
      <c r="M30" s="56">
        <f t="shared" ref="M30:AQ30" si="20">COUNTIF(M5:M27,"昼")</f>
        <v>2</v>
      </c>
      <c r="N30" s="56">
        <f t="shared" si="20"/>
        <v>1</v>
      </c>
      <c r="O30" s="56">
        <f t="shared" si="20"/>
        <v>0</v>
      </c>
      <c r="P30" s="56">
        <f t="shared" si="20"/>
        <v>0</v>
      </c>
      <c r="Q30" s="56">
        <f t="shared" si="20"/>
        <v>2</v>
      </c>
      <c r="R30" s="56">
        <f t="shared" si="20"/>
        <v>3</v>
      </c>
      <c r="S30" s="56">
        <f t="shared" si="20"/>
        <v>0</v>
      </c>
      <c r="T30" s="56">
        <f t="shared" si="20"/>
        <v>2</v>
      </c>
      <c r="U30" s="56">
        <f t="shared" si="20"/>
        <v>3</v>
      </c>
      <c r="V30" s="56">
        <f t="shared" si="20"/>
        <v>1</v>
      </c>
      <c r="W30" s="56">
        <f t="shared" si="20"/>
        <v>1</v>
      </c>
      <c r="X30" s="56">
        <f t="shared" si="20"/>
        <v>1</v>
      </c>
      <c r="Y30" s="56">
        <f t="shared" si="20"/>
        <v>2</v>
      </c>
      <c r="Z30" s="56">
        <f t="shared" si="20"/>
        <v>1</v>
      </c>
      <c r="AA30" s="56">
        <f t="shared" si="20"/>
        <v>3</v>
      </c>
      <c r="AB30" s="56">
        <f t="shared" si="20"/>
        <v>1</v>
      </c>
      <c r="AC30" s="56">
        <f t="shared" si="20"/>
        <v>1</v>
      </c>
      <c r="AD30" s="56">
        <f t="shared" si="20"/>
        <v>2</v>
      </c>
      <c r="AE30" s="56">
        <f t="shared" si="20"/>
        <v>2</v>
      </c>
      <c r="AF30" s="56">
        <f t="shared" si="20"/>
        <v>3</v>
      </c>
      <c r="AG30" s="56">
        <f t="shared" si="20"/>
        <v>0</v>
      </c>
      <c r="AH30" s="56">
        <f t="shared" si="20"/>
        <v>1</v>
      </c>
      <c r="AI30" s="56">
        <f t="shared" si="20"/>
        <v>2</v>
      </c>
      <c r="AJ30" s="56">
        <f t="shared" si="20"/>
        <v>1</v>
      </c>
      <c r="AK30" s="56">
        <f>COUNTIF(AK5:AK27,"昼")</f>
        <v>2</v>
      </c>
      <c r="AL30" s="56">
        <f t="shared" si="20"/>
        <v>2</v>
      </c>
      <c r="AM30" s="56">
        <f t="shared" si="20"/>
        <v>3</v>
      </c>
      <c r="AN30" s="56">
        <f t="shared" si="20"/>
        <v>0</v>
      </c>
      <c r="AO30" s="56">
        <f t="shared" si="20"/>
        <v>3</v>
      </c>
      <c r="AP30" s="56">
        <f t="shared" si="20"/>
        <v>2</v>
      </c>
      <c r="AQ30" s="56">
        <f t="shared" si="20"/>
        <v>0</v>
      </c>
      <c r="AR30" s="56" t="e">
        <f>COUNTIF(#REF!,"昼")</f>
        <v>#REF!</v>
      </c>
      <c r="AS30" s="56" t="e">
        <f>COUNTIF(#REF!,"昼")</f>
        <v>#REF!</v>
      </c>
      <c r="AT30" s="56" t="e">
        <f>COUNTIF(#REF!,"昼")</f>
        <v>#REF!</v>
      </c>
      <c r="AU30" s="56" t="e">
        <f>COUNTIF(#REF!,"昼")</f>
        <v>#REF!</v>
      </c>
      <c r="AV30" s="56">
        <f t="shared" si="19"/>
        <v>47</v>
      </c>
      <c r="AW30" s="56"/>
      <c r="AX30" s="56"/>
      <c r="AY30" s="56" t="s">
        <v>393</v>
      </c>
      <c r="AZ30" s="56"/>
      <c r="BA30" s="56"/>
      <c r="BB30" s="66"/>
      <c r="BC30" s="66"/>
      <c r="BD30" s="88"/>
      <c r="BE30" s="61"/>
      <c r="BF30" s="55"/>
    </row>
    <row r="31" spans="1:58" s="54" customFormat="1" ht="24" customHeight="1" x14ac:dyDescent="0.45">
      <c r="A31" s="72">
        <v>22</v>
      </c>
      <c r="B31" s="57" t="s">
        <v>394</v>
      </c>
      <c r="C31" s="57"/>
      <c r="D31" s="57"/>
      <c r="E31" s="57"/>
      <c r="F31" s="57"/>
      <c r="G31" s="57"/>
      <c r="H31" s="57"/>
      <c r="I31" s="57"/>
      <c r="J31" s="57"/>
      <c r="K31" s="57"/>
      <c r="L31" s="57"/>
      <c r="M31" s="56">
        <f t="shared" ref="M31:AQ31" si="21">COUNTIF(M5:M28,"お")</f>
        <v>1</v>
      </c>
      <c r="N31" s="56">
        <f t="shared" si="21"/>
        <v>1</v>
      </c>
      <c r="O31" s="56">
        <f t="shared" si="21"/>
        <v>0</v>
      </c>
      <c r="P31" s="56">
        <f t="shared" si="21"/>
        <v>1</v>
      </c>
      <c r="Q31" s="56">
        <f t="shared" si="21"/>
        <v>0</v>
      </c>
      <c r="R31" s="56">
        <f t="shared" si="21"/>
        <v>0</v>
      </c>
      <c r="S31" s="56">
        <f t="shared" si="21"/>
        <v>2</v>
      </c>
      <c r="T31" s="56">
        <f t="shared" si="21"/>
        <v>1</v>
      </c>
      <c r="U31" s="56">
        <f t="shared" si="21"/>
        <v>1</v>
      </c>
      <c r="V31" s="56">
        <f t="shared" si="21"/>
        <v>1</v>
      </c>
      <c r="W31" s="56">
        <f t="shared" si="21"/>
        <v>3</v>
      </c>
      <c r="X31" s="56">
        <f t="shared" si="21"/>
        <v>0</v>
      </c>
      <c r="Y31" s="56">
        <f t="shared" si="21"/>
        <v>0</v>
      </c>
      <c r="Z31" s="56">
        <f t="shared" si="21"/>
        <v>1</v>
      </c>
      <c r="AA31" s="56">
        <f t="shared" si="21"/>
        <v>1</v>
      </c>
      <c r="AB31" s="56">
        <f t="shared" si="21"/>
        <v>1</v>
      </c>
      <c r="AC31" s="56">
        <f t="shared" si="21"/>
        <v>0</v>
      </c>
      <c r="AD31" s="56">
        <f t="shared" si="21"/>
        <v>1</v>
      </c>
      <c r="AE31" s="56">
        <f t="shared" si="21"/>
        <v>2</v>
      </c>
      <c r="AF31" s="56">
        <f t="shared" si="21"/>
        <v>0</v>
      </c>
      <c r="AG31" s="56">
        <f t="shared" si="21"/>
        <v>1</v>
      </c>
      <c r="AH31" s="56">
        <f t="shared" si="21"/>
        <v>1</v>
      </c>
      <c r="AI31" s="56">
        <f t="shared" si="21"/>
        <v>1</v>
      </c>
      <c r="AJ31" s="56">
        <f t="shared" si="21"/>
        <v>1</v>
      </c>
      <c r="AK31" s="56">
        <f t="shared" si="21"/>
        <v>2</v>
      </c>
      <c r="AL31" s="56">
        <f t="shared" si="21"/>
        <v>1</v>
      </c>
      <c r="AM31" s="56">
        <f t="shared" si="21"/>
        <v>1</v>
      </c>
      <c r="AN31" s="56">
        <f t="shared" si="21"/>
        <v>2</v>
      </c>
      <c r="AO31" s="56">
        <f t="shared" si="21"/>
        <v>2</v>
      </c>
      <c r="AP31" s="56">
        <f t="shared" si="21"/>
        <v>1</v>
      </c>
      <c r="AQ31" s="56">
        <f t="shared" si="21"/>
        <v>0</v>
      </c>
      <c r="AR31" s="56">
        <f>COUNTIF(AR5:AR27,"お")</f>
        <v>0</v>
      </c>
      <c r="AS31" s="56">
        <f>COUNTIF(AS5:AS27,"お")</f>
        <v>0</v>
      </c>
      <c r="AT31" s="56">
        <f>COUNTIF(AT5:AT27,"お")</f>
        <v>0</v>
      </c>
      <c r="AU31" s="56">
        <f>COUNTIF(AU5:AU27,"お")</f>
        <v>0</v>
      </c>
      <c r="AV31" s="56">
        <f t="shared" si="19"/>
        <v>30</v>
      </c>
      <c r="AW31" s="56"/>
      <c r="AX31" s="56"/>
      <c r="AY31" s="56"/>
      <c r="AZ31" s="56"/>
      <c r="BA31" s="56"/>
      <c r="BB31" s="66"/>
      <c r="BC31" s="66"/>
      <c r="BD31" s="88"/>
      <c r="BE31" s="61"/>
      <c r="BF31" s="55"/>
    </row>
    <row r="32" spans="1:58" s="54" customFormat="1" ht="24" customHeight="1" x14ac:dyDescent="0.45">
      <c r="A32" s="72">
        <v>23</v>
      </c>
      <c r="B32" s="57" t="s">
        <v>395</v>
      </c>
      <c r="C32" s="57"/>
      <c r="D32" s="57"/>
      <c r="E32" s="57"/>
      <c r="F32" s="57"/>
      <c r="G32" s="57"/>
      <c r="H32" s="57"/>
      <c r="I32" s="57"/>
      <c r="J32" s="57"/>
      <c r="K32" s="57"/>
      <c r="L32" s="57"/>
      <c r="M32" s="56">
        <f t="shared" ref="M32:AQ32" si="22">COUNTIF(M5:M27,"お")+COUNTIF(M5:M27,"夕")</f>
        <v>2</v>
      </c>
      <c r="N32" s="56">
        <f t="shared" si="22"/>
        <v>1</v>
      </c>
      <c r="O32" s="56">
        <f t="shared" si="22"/>
        <v>0</v>
      </c>
      <c r="P32" s="56">
        <f t="shared" si="22"/>
        <v>2</v>
      </c>
      <c r="Q32" s="56">
        <f t="shared" si="22"/>
        <v>0</v>
      </c>
      <c r="R32" s="56">
        <f t="shared" si="22"/>
        <v>0</v>
      </c>
      <c r="S32" s="56">
        <f t="shared" si="22"/>
        <v>3</v>
      </c>
      <c r="T32" s="56">
        <f t="shared" si="22"/>
        <v>2</v>
      </c>
      <c r="U32" s="56">
        <f t="shared" si="22"/>
        <v>1</v>
      </c>
      <c r="V32" s="56">
        <f t="shared" si="22"/>
        <v>1</v>
      </c>
      <c r="W32" s="56">
        <f t="shared" si="22"/>
        <v>4</v>
      </c>
      <c r="X32" s="56">
        <f t="shared" si="22"/>
        <v>0</v>
      </c>
      <c r="Y32" s="56">
        <f t="shared" si="22"/>
        <v>2</v>
      </c>
      <c r="Z32" s="56">
        <f t="shared" si="22"/>
        <v>2</v>
      </c>
      <c r="AA32" s="56">
        <f t="shared" si="22"/>
        <v>1</v>
      </c>
      <c r="AB32" s="56">
        <f t="shared" si="22"/>
        <v>2</v>
      </c>
      <c r="AC32" s="56">
        <f t="shared" si="22"/>
        <v>0</v>
      </c>
      <c r="AD32" s="56">
        <f t="shared" si="22"/>
        <v>2</v>
      </c>
      <c r="AE32" s="56">
        <f t="shared" si="22"/>
        <v>3</v>
      </c>
      <c r="AF32" s="56">
        <f t="shared" si="22"/>
        <v>0</v>
      </c>
      <c r="AG32" s="56">
        <f t="shared" si="22"/>
        <v>2</v>
      </c>
      <c r="AH32" s="56">
        <f t="shared" si="22"/>
        <v>2</v>
      </c>
      <c r="AI32" s="56">
        <f t="shared" si="22"/>
        <v>1</v>
      </c>
      <c r="AJ32" s="56">
        <f t="shared" si="22"/>
        <v>1</v>
      </c>
      <c r="AK32" s="56">
        <f>COUNTIF(AK5:AK27,"お")+COUNTIF(AK5:AK27,"夕")</f>
        <v>3</v>
      </c>
      <c r="AL32" s="56">
        <f t="shared" si="22"/>
        <v>1</v>
      </c>
      <c r="AM32" s="56">
        <f t="shared" si="22"/>
        <v>1</v>
      </c>
      <c r="AN32" s="56">
        <f t="shared" si="22"/>
        <v>3</v>
      </c>
      <c r="AO32" s="56">
        <f t="shared" si="22"/>
        <v>3</v>
      </c>
      <c r="AP32" s="56">
        <f t="shared" si="22"/>
        <v>1</v>
      </c>
      <c r="AQ32" s="56">
        <f t="shared" si="22"/>
        <v>0</v>
      </c>
      <c r="AR32" s="56" t="e">
        <f>COUNTIF(#REF!,"お")+COUNTIF(#REF!,"夕")</f>
        <v>#REF!</v>
      </c>
      <c r="AS32" s="56" t="e">
        <f>COUNTIF(#REF!,"お")+COUNTIF(#REF!,"夕")</f>
        <v>#REF!</v>
      </c>
      <c r="AT32" s="56" t="e">
        <f>COUNTIF(#REF!,"お")+COUNTIF(#REF!,"夕")</f>
        <v>#REF!</v>
      </c>
      <c r="AU32" s="56" t="e">
        <f>COUNTIF(#REF!,"お")+COUNTIF(#REF!,"夕")</f>
        <v>#REF!</v>
      </c>
      <c r="AV32" s="56">
        <f t="shared" si="19"/>
        <v>46</v>
      </c>
      <c r="AW32" s="56"/>
      <c r="AX32" s="56"/>
      <c r="AY32" s="56"/>
      <c r="AZ32" s="56"/>
      <c r="BA32" s="56"/>
      <c r="BB32" s="66"/>
      <c r="BC32" s="66"/>
      <c r="BD32" s="67"/>
      <c r="BE32" s="61"/>
      <c r="BF32" s="55"/>
    </row>
    <row r="33" spans="1:58" s="54" customFormat="1" ht="24" customHeight="1" x14ac:dyDescent="0.45">
      <c r="A33" s="72"/>
      <c r="BB33" s="69"/>
      <c r="BC33" s="115"/>
      <c r="BD33" s="67"/>
      <c r="BE33" s="61"/>
      <c r="BF33" s="55"/>
    </row>
    <row r="34" spans="1:58" s="54" customFormat="1" ht="24" customHeight="1" x14ac:dyDescent="0.45">
      <c r="A34" s="72"/>
      <c r="BB34" s="69" t="s">
        <v>396</v>
      </c>
      <c r="BC34" s="115"/>
      <c r="BD34" s="88"/>
      <c r="BE34" s="61"/>
      <c r="BF34" s="55"/>
    </row>
    <row r="35" spans="1:58" s="54" customFormat="1" ht="24" customHeight="1" x14ac:dyDescent="0.45">
      <c r="A35" s="72"/>
      <c r="BB35" s="69"/>
      <c r="BC35" s="115"/>
      <c r="BD35" s="88"/>
      <c r="BE35" s="61"/>
      <c r="BF35" s="55"/>
    </row>
    <row r="36" spans="1:58" s="54" customFormat="1" ht="24" customHeight="1" x14ac:dyDescent="0.45">
      <c r="A36" s="72"/>
      <c r="BB36" s="69"/>
      <c r="BC36" s="115"/>
      <c r="BD36" s="88"/>
      <c r="BE36" s="61"/>
      <c r="BF36" s="55"/>
    </row>
    <row r="37" spans="1:58" s="54" customFormat="1" ht="24" customHeight="1" x14ac:dyDescent="0.45">
      <c r="A37" s="7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70"/>
      <c r="BC37" s="116"/>
      <c r="BD37" s="69"/>
      <c r="BE37" s="61"/>
      <c r="BF37" s="55"/>
    </row>
    <row r="38" spans="1:58" s="54" customFormat="1" ht="24" customHeight="1" x14ac:dyDescent="0.45">
      <c r="A38" s="7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70"/>
      <c r="BC38" s="116"/>
      <c r="BD38" s="69"/>
      <c r="BE38" s="61"/>
      <c r="BF38" s="55"/>
    </row>
    <row r="39" spans="1:58" s="54" customFormat="1" ht="24" customHeight="1" x14ac:dyDescent="0.45">
      <c r="A39" s="72"/>
      <c r="B39" s="57" t="s">
        <v>397</v>
      </c>
      <c r="C39" s="57"/>
      <c r="D39" s="57"/>
      <c r="E39" s="57"/>
      <c r="F39" s="57"/>
      <c r="G39" s="57"/>
      <c r="H39" s="57"/>
      <c r="I39" s="57"/>
      <c r="J39" s="57" t="str">
        <f t="shared" ref="J39:J40" si="23">IF(COUNTA(C39:I39)=0,"",COUNTA(C39:I39))</f>
        <v/>
      </c>
      <c r="K39" s="57"/>
      <c r="L39" s="57"/>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t="str">
        <f t="shared" ref="AR39:AR40" si="24">IF(COUNTIF($M39:$AQ39,"昼")=0,"",COUNTIF($M39:$AQ39,"昼"))</f>
        <v/>
      </c>
      <c r="AS39" s="56" t="str">
        <f t="shared" ref="AS39:AS40" si="25">IF(COUNTIF($M39:$AQ39,"○")=0,"",COUNTIF($M39:$AQ39,"○"))</f>
        <v/>
      </c>
      <c r="AT39" s="56" t="str">
        <f t="shared" ref="AT39:AT40" si="26">IF(COUNTIF($M39:$AQ39,"お")=0,"",COUNTIF($M39:$AQ39,"お"))</f>
        <v/>
      </c>
      <c r="AU39" s="56" t="str">
        <f t="shared" ref="AU39:AU40" si="27">IF(COUNTIF($M39:$AQ39,"夕")=0,"",COUNTIF($M39:$AQ39,"夕"))</f>
        <v/>
      </c>
      <c r="AV39" s="56" t="str">
        <f t="shared" ref="AV39:AV40" si="28">IF(COUNTA(M39:AQ39)=0,"",SUM(AR39:AU39))</f>
        <v/>
      </c>
      <c r="AW39" s="56"/>
      <c r="AX39" s="56" t="s">
        <v>398</v>
      </c>
      <c r="AY39" s="59">
        <v>9068599322</v>
      </c>
      <c r="AZ39" s="59"/>
      <c r="BA39" s="59"/>
      <c r="BB39" s="66"/>
      <c r="BC39" s="66"/>
      <c r="BD39" s="69"/>
      <c r="BE39" s="61"/>
      <c r="BF39" s="55"/>
    </row>
    <row r="40" spans="1:58" s="54" customFormat="1" ht="24" customHeight="1" x14ac:dyDescent="0.45">
      <c r="A40" s="72"/>
      <c r="B40" s="57" t="s">
        <v>399</v>
      </c>
      <c r="C40" s="57"/>
      <c r="D40" s="57"/>
      <c r="E40" s="57"/>
      <c r="F40" s="57"/>
      <c r="G40" s="57"/>
      <c r="H40" s="57"/>
      <c r="I40" s="57"/>
      <c r="J40" s="57" t="str">
        <f t="shared" si="23"/>
        <v/>
      </c>
      <c r="K40" s="57"/>
      <c r="L40" s="57"/>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t="str">
        <f t="shared" si="24"/>
        <v/>
      </c>
      <c r="AS40" s="56" t="str">
        <f t="shared" si="25"/>
        <v/>
      </c>
      <c r="AT40" s="56" t="str">
        <f t="shared" si="26"/>
        <v/>
      </c>
      <c r="AU40" s="56" t="str">
        <f t="shared" si="27"/>
        <v/>
      </c>
      <c r="AV40" s="56" t="str">
        <f t="shared" si="28"/>
        <v/>
      </c>
      <c r="AW40" s="56"/>
      <c r="AX40" s="56" t="s">
        <v>400</v>
      </c>
      <c r="AY40" s="59">
        <v>8046668865</v>
      </c>
      <c r="AZ40" s="59"/>
      <c r="BA40" s="59"/>
      <c r="BB40" s="66"/>
      <c r="BC40" s="66"/>
      <c r="BD40" s="69"/>
      <c r="BE40" s="61"/>
      <c r="BF40" s="55"/>
    </row>
    <row r="41" spans="1:58" s="54" customFormat="1" ht="24" customHeight="1" x14ac:dyDescent="0.45">
      <c r="A41" s="72"/>
      <c r="B41" s="57" t="s">
        <v>354</v>
      </c>
      <c r="C41" s="57"/>
      <c r="D41" s="57"/>
      <c r="E41" s="57"/>
      <c r="F41" s="57"/>
      <c r="G41" s="57"/>
      <c r="H41" s="57"/>
      <c r="I41" s="57"/>
      <c r="J41" s="57"/>
      <c r="K41" s="57"/>
      <c r="L41" s="57"/>
      <c r="M41" s="56"/>
      <c r="N41" s="56"/>
      <c r="O41" s="56"/>
      <c r="P41" s="56"/>
      <c r="Q41" s="56"/>
      <c r="R41" s="56"/>
      <c r="S41" s="56"/>
      <c r="T41" s="56"/>
      <c r="U41" s="56"/>
      <c r="V41" s="56"/>
      <c r="W41" s="56"/>
      <c r="X41" s="56"/>
      <c r="Y41" s="56"/>
      <c r="Z41" s="56"/>
      <c r="AA41" s="56"/>
      <c r="AB41" s="56"/>
      <c r="AC41" s="56"/>
      <c r="AD41" s="56"/>
      <c r="AE41" s="58"/>
      <c r="AF41" s="56"/>
      <c r="AG41" s="56"/>
      <c r="AH41" s="56"/>
      <c r="AI41" s="56"/>
      <c r="AJ41" s="56"/>
      <c r="AK41" s="56"/>
      <c r="AL41" s="56"/>
      <c r="AM41" s="56"/>
      <c r="AN41" s="56"/>
      <c r="AO41" s="56"/>
      <c r="AP41" s="56"/>
      <c r="AQ41" s="56"/>
      <c r="AR41" s="56"/>
      <c r="AS41" s="56"/>
      <c r="AT41" s="56"/>
      <c r="AU41" s="56"/>
      <c r="AV41" s="56"/>
      <c r="AW41" s="56">
        <v>223</v>
      </c>
      <c r="AX41" s="56" t="s">
        <v>355</v>
      </c>
      <c r="AY41" s="59">
        <v>9094067262</v>
      </c>
      <c r="AZ41" s="56" t="s">
        <v>356</v>
      </c>
      <c r="BA41" s="59">
        <v>7012498633</v>
      </c>
      <c r="BB41" s="66" t="s">
        <v>326</v>
      </c>
      <c r="BC41" s="56">
        <v>2</v>
      </c>
      <c r="BD41" s="70"/>
      <c r="BE41" s="61"/>
      <c r="BF41" s="55"/>
    </row>
    <row r="42" spans="1:58" s="54" customFormat="1" ht="24" customHeight="1" x14ac:dyDescent="0.45">
      <c r="A42" s="72"/>
      <c r="B42" s="57" t="s">
        <v>376</v>
      </c>
      <c r="C42" s="57"/>
      <c r="D42" s="57"/>
      <c r="E42" s="57"/>
      <c r="F42" s="57"/>
      <c r="G42" s="57"/>
      <c r="H42" s="57"/>
      <c r="I42" s="57"/>
      <c r="J42" s="57"/>
      <c r="K42" s="57"/>
      <c r="L42" s="57"/>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t="s">
        <v>377</v>
      </c>
      <c r="AY42" s="59">
        <v>9075866267</v>
      </c>
      <c r="AZ42" s="56" t="s">
        <v>336</v>
      </c>
      <c r="BA42" s="59">
        <v>8039162381</v>
      </c>
      <c r="BB42" s="66" t="s">
        <v>347</v>
      </c>
      <c r="BC42" s="56">
        <v>3</v>
      </c>
      <c r="BD42" s="88"/>
      <c r="BE42" s="61"/>
      <c r="BF42" s="55"/>
    </row>
    <row r="43" spans="1:58" s="54" customFormat="1" ht="24" customHeight="1" x14ac:dyDescent="0.45">
      <c r="A43" s="72"/>
      <c r="B43" s="57" t="s">
        <v>367</v>
      </c>
      <c r="C43" s="57"/>
      <c r="D43" s="57"/>
      <c r="E43" s="57"/>
      <c r="F43" s="57"/>
      <c r="G43" s="57"/>
      <c r="H43" s="57"/>
      <c r="I43" s="57"/>
      <c r="J43" s="57"/>
      <c r="K43" s="57"/>
      <c r="L43" s="57"/>
      <c r="M43" s="56"/>
      <c r="N43" s="56"/>
      <c r="O43" s="56"/>
      <c r="P43" s="58"/>
      <c r="Q43" s="56"/>
      <c r="R43" s="56"/>
      <c r="S43" s="56"/>
      <c r="T43" s="56"/>
      <c r="U43" s="56"/>
      <c r="V43" s="56"/>
      <c r="W43" s="58"/>
      <c r="X43" s="56"/>
      <c r="Y43" s="56"/>
      <c r="Z43" s="56"/>
      <c r="AA43" s="56"/>
      <c r="AB43" s="56"/>
      <c r="AC43" s="56"/>
      <c r="AD43" s="58"/>
      <c r="AE43" s="58"/>
      <c r="AF43" s="56"/>
      <c r="AG43" s="56"/>
      <c r="AH43" s="56"/>
      <c r="AI43" s="56"/>
      <c r="AJ43" s="56"/>
      <c r="AK43" s="56"/>
      <c r="AL43" s="56"/>
      <c r="AM43" s="56"/>
      <c r="AN43" s="56"/>
      <c r="AO43" s="56"/>
      <c r="AP43" s="56"/>
      <c r="AQ43" s="56"/>
      <c r="AR43" s="56"/>
      <c r="AS43" s="56"/>
      <c r="AT43" s="56"/>
      <c r="AU43" s="56"/>
      <c r="AV43" s="56"/>
      <c r="AW43" s="56">
        <v>223</v>
      </c>
      <c r="AX43" s="56" t="s">
        <v>356</v>
      </c>
      <c r="AY43" s="59">
        <v>7012498633</v>
      </c>
      <c r="AZ43" s="56" t="s">
        <v>402</v>
      </c>
      <c r="BA43" s="59">
        <v>9057498087</v>
      </c>
      <c r="BB43" s="66" t="s">
        <v>326</v>
      </c>
      <c r="BC43" s="115"/>
      <c r="BD43" s="88"/>
      <c r="BE43" s="55"/>
    </row>
    <row r="44" spans="1:58" s="54" customFormat="1" ht="24" customHeight="1" x14ac:dyDescent="0.45">
      <c r="A44" s="73"/>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70"/>
      <c r="BC44" s="116"/>
      <c r="BD44" s="88"/>
      <c r="BE44" s="53"/>
      <c r="BF44" s="55" t="s">
        <v>401</v>
      </c>
    </row>
    <row r="45" spans="1:58" s="54" customFormat="1" ht="24" customHeight="1" x14ac:dyDescent="0.45">
      <c r="A45" s="53"/>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70"/>
      <c r="BC45" s="116"/>
      <c r="BD45" s="88"/>
      <c r="BE45" s="53"/>
      <c r="BF45" s="55"/>
    </row>
    <row r="46" spans="1:58" s="54" customFormat="1" ht="24" customHeight="1" x14ac:dyDescent="0.45">
      <c r="A46" s="53"/>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88"/>
      <c r="BE46" s="53"/>
      <c r="BF46" s="55"/>
    </row>
    <row r="47" spans="1:58" s="54" customFormat="1" ht="24" customHeight="1" x14ac:dyDescent="0.45">
      <c r="A47" s="53"/>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70"/>
      <c r="BE47" s="53"/>
      <c r="BF47" s="55"/>
    </row>
    <row r="48" spans="1:58" s="54" customFormat="1" ht="24" customHeight="1" x14ac:dyDescent="0.45">
      <c r="A48" s="48"/>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c r="BF48" s="55"/>
    </row>
    <row r="49" spans="1:58" s="54" customFormat="1" ht="24" customHeight="1" x14ac:dyDescent="0.45">
      <c r="A49" s="48"/>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c r="BF49" s="55"/>
    </row>
    <row r="50" spans="1:58" s="54" customFormat="1" ht="26.4" customHeight="1" x14ac:dyDescent="0.45">
      <c r="A50" s="72">
        <v>18</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c r="BF50" s="55"/>
    </row>
    <row r="51" spans="1:58" s="54" customFormat="1" ht="26.4" customHeight="1" x14ac:dyDescent="0.45">
      <c r="A51" s="72">
        <v>19</v>
      </c>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row>
    <row r="52" spans="1:58" s="54" customFormat="1" ht="26.4" customHeight="1" x14ac:dyDescent="0.45">
      <c r="A52" s="72">
        <v>20</v>
      </c>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row>
    <row r="53" spans="1:58" s="54" customFormat="1" ht="26.4" customHeight="1" x14ac:dyDescent="0.45">
      <c r="A53" s="72">
        <v>21</v>
      </c>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row>
    <row r="54" spans="1:58" s="54" customFormat="1" ht="26.4" customHeight="1" x14ac:dyDescent="0.45">
      <c r="A54" s="72">
        <v>22</v>
      </c>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row>
    <row r="55" spans="1:58" s="54" customFormat="1" ht="26.4" customHeight="1" x14ac:dyDescent="0.45">
      <c r="A55" s="72">
        <v>23</v>
      </c>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row>
    <row r="56" spans="1:58" s="54" customFormat="1" ht="21.6"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row>
    <row r="57" spans="1:58" s="54" customFormat="1" ht="21.6"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row>
    <row r="58" spans="1:58" s="54" customFormat="1" ht="21.6"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row>
    <row r="59" spans="1:58" s="54" customFormat="1" ht="21.6" x14ac:dyDescent="0.45">
      <c r="A59" s="48"/>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70"/>
      <c r="BC59" s="116"/>
      <c r="BD59" s="70"/>
      <c r="BE59" s="53"/>
    </row>
    <row r="61" spans="1:58" s="54" customFormat="1" ht="26.4" customHeight="1" x14ac:dyDescent="0.45">
      <c r="A61" s="48"/>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70"/>
      <c r="BC61" s="116"/>
      <c r="BD61" s="70"/>
      <c r="BE61" s="53"/>
      <c r="BF61" s="55"/>
    </row>
    <row r="62" spans="1:58" s="54" customFormat="1" ht="26.4" customHeight="1" x14ac:dyDescent="0.45">
      <c r="A62" s="48"/>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70"/>
      <c r="BC62" s="116"/>
      <c r="BD62" s="70"/>
      <c r="BE62" s="53"/>
      <c r="BF62" s="55"/>
    </row>
    <row r="63" spans="1:58" s="54" customFormat="1" ht="26.4" customHeight="1" x14ac:dyDescent="0.45">
      <c r="A63" s="48"/>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70"/>
      <c r="BC63" s="116"/>
      <c r="BD63" s="70"/>
      <c r="BE63" s="53"/>
      <c r="BF63" s="55"/>
    </row>
    <row r="64" spans="1:58" s="54" customFormat="1" ht="26.4" customHeight="1" x14ac:dyDescent="0.45">
      <c r="A64" s="48"/>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70"/>
      <c r="BC64" s="116"/>
      <c r="BD64" s="70"/>
      <c r="BE64" s="53"/>
      <c r="BF64" s="55"/>
    </row>
    <row r="65" spans="1:58" s="54" customFormat="1" ht="26.4" customHeight="1" x14ac:dyDescent="0.45">
      <c r="A65" s="48"/>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70"/>
      <c r="BC65" s="116"/>
      <c r="BD65" s="70"/>
      <c r="BE65" s="53"/>
      <c r="BF65" s="55"/>
    </row>
    <row r="66" spans="1:58" s="54" customFormat="1" ht="26.4" customHeight="1" x14ac:dyDescent="0.45">
      <c r="A66" s="48"/>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70"/>
      <c r="BC66" s="116"/>
      <c r="BD66" s="70"/>
      <c r="BE66" s="53"/>
      <c r="BF66" s="55"/>
    </row>
  </sheetData>
  <mergeCells count="19">
    <mergeCell ref="BD3:BD4"/>
    <mergeCell ref="AX3:AX4"/>
    <mergeCell ref="AY3:AY4"/>
    <mergeCell ref="AZ3:AZ4"/>
    <mergeCell ref="BA3:BA4"/>
    <mergeCell ref="BB3:BB4"/>
    <mergeCell ref="BC3:BC4"/>
    <mergeCell ref="A3:A4"/>
    <mergeCell ref="B3:B4"/>
    <mergeCell ref="C3:J4"/>
    <mergeCell ref="K3:L4"/>
    <mergeCell ref="AV3:AV4"/>
    <mergeCell ref="AW3:AW4"/>
    <mergeCell ref="P1:R2"/>
    <mergeCell ref="S1:S2"/>
    <mergeCell ref="T1:U2"/>
    <mergeCell ref="V1:AN2"/>
    <mergeCell ref="AQ1:AV1"/>
    <mergeCell ref="AO2:AV2"/>
  </mergeCells>
  <phoneticPr fontId="1"/>
  <conditionalFormatting sqref="M5:X5 Z5:AQ5 AR5:AW27 M6:AQ7 M14:AK14 AO14:AQ14 M15:AQ16 M17:AN17 AP17:AQ17 M18:AQ26 M27:AM27 AO27:AQ27">
    <cfRule type="cellIs" dxfId="55" priority="13" operator="equal">
      <formula>"お"</formula>
    </cfRule>
    <cfRule type="cellIs" dxfId="54" priority="14" operator="equal">
      <formula>"夕"</formula>
    </cfRule>
  </conditionalFormatting>
  <conditionalFormatting sqref="M8:AJ8 AL8:AQ8 M9:AQ13">
    <cfRule type="cellIs" dxfId="53" priority="19" operator="equal">
      <formula>"お"</formula>
    </cfRule>
    <cfRule type="cellIs" dxfId="52" priority="20" operator="equal">
      <formula>"夕"</formula>
    </cfRule>
  </conditionalFormatting>
  <conditionalFormatting sqref="M8:AJ8 AL8:AQ8">
    <cfRule type="cellIs" dxfId="51" priority="21" operator="equal">
      <formula>"""夕"""</formula>
    </cfRule>
  </conditionalFormatting>
  <conditionalFormatting sqref="M4:AU4">
    <cfRule type="cellIs" dxfId="50" priority="24" operator="equal">
      <formula>"土"</formula>
    </cfRule>
    <cfRule type="cellIs" dxfId="49" priority="25" operator="equal">
      <formula>"日"</formula>
    </cfRule>
  </conditionalFormatting>
  <conditionalFormatting sqref="M28:AU28">
    <cfRule type="cellIs" dxfId="48" priority="22" operator="greaterThan">
      <formula>7</formula>
    </cfRule>
    <cfRule type="cellIs" dxfId="47" priority="23" operator="greaterThan">
      <formula>6</formula>
    </cfRule>
  </conditionalFormatting>
  <conditionalFormatting sqref="M39:AW43">
    <cfRule type="cellIs" dxfId="46" priority="17" operator="equal">
      <formula>"お"</formula>
    </cfRule>
    <cfRule type="cellIs" dxfId="45" priority="18"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8" scale="6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03EB-3687-4B8E-9AA0-46F4CB27E783}">
  <dimension ref="A1:BF56"/>
  <sheetViews>
    <sheetView tabSelected="1" zoomScale="70" zoomScaleNormal="70" workbookViewId="0">
      <pane ySplit="4" topLeftCell="A15" activePane="bottomLeft" state="frozen"/>
      <selection pane="bottomLeft" activeCell="AE26" sqref="AE26"/>
    </sheetView>
  </sheetViews>
  <sheetFormatPr defaultColWidth="8.69921875" defaultRowHeight="18" x14ac:dyDescent="0.45"/>
  <cols>
    <col min="1" max="1" width="4.69921875" style="48" customWidth="1"/>
    <col min="2" max="2" width="17.89843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19.5976562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7</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6.4" customHeight="1" x14ac:dyDescent="0.45">
      <c r="A3" s="168"/>
      <c r="B3" s="170" t="s">
        <v>0</v>
      </c>
      <c r="C3" s="165" t="s">
        <v>309</v>
      </c>
      <c r="D3" s="165"/>
      <c r="E3" s="165"/>
      <c r="F3" s="165"/>
      <c r="G3" s="165"/>
      <c r="H3" s="165"/>
      <c r="I3" s="165"/>
      <c r="J3" s="165"/>
      <c r="K3" s="165" t="s">
        <v>310</v>
      </c>
      <c r="L3" s="165"/>
      <c r="M3" s="52">
        <f>BE4</f>
        <v>46204</v>
      </c>
      <c r="N3" s="52">
        <f t="shared" ref="N3:AQ3" si="0">IF(M3=$BE$6,"",IF(M3="","",M3+1))</f>
        <v>46205</v>
      </c>
      <c r="O3" s="52">
        <f t="shared" si="0"/>
        <v>46206</v>
      </c>
      <c r="P3" s="52">
        <f t="shared" si="0"/>
        <v>46207</v>
      </c>
      <c r="Q3" s="52">
        <f t="shared" si="0"/>
        <v>46208</v>
      </c>
      <c r="R3" s="52">
        <f t="shared" si="0"/>
        <v>46209</v>
      </c>
      <c r="S3" s="52">
        <f t="shared" si="0"/>
        <v>46210</v>
      </c>
      <c r="T3" s="52">
        <f t="shared" si="0"/>
        <v>46211</v>
      </c>
      <c r="U3" s="52">
        <f t="shared" si="0"/>
        <v>46212</v>
      </c>
      <c r="V3" s="52">
        <f t="shared" si="0"/>
        <v>46213</v>
      </c>
      <c r="W3" s="52">
        <f t="shared" si="0"/>
        <v>46214</v>
      </c>
      <c r="X3" s="52">
        <f t="shared" si="0"/>
        <v>46215</v>
      </c>
      <c r="Y3" s="52">
        <f t="shared" si="0"/>
        <v>46216</v>
      </c>
      <c r="Z3" s="52">
        <f t="shared" si="0"/>
        <v>46217</v>
      </c>
      <c r="AA3" s="52">
        <f t="shared" si="0"/>
        <v>46218</v>
      </c>
      <c r="AB3" s="52">
        <f t="shared" si="0"/>
        <v>46219</v>
      </c>
      <c r="AC3" s="52">
        <f t="shared" si="0"/>
        <v>46220</v>
      </c>
      <c r="AD3" s="52">
        <f t="shared" si="0"/>
        <v>46221</v>
      </c>
      <c r="AE3" s="52">
        <f t="shared" si="0"/>
        <v>46222</v>
      </c>
      <c r="AF3" s="52">
        <f t="shared" si="0"/>
        <v>46223</v>
      </c>
      <c r="AG3" s="52">
        <f t="shared" si="0"/>
        <v>46224</v>
      </c>
      <c r="AH3" s="52">
        <f t="shared" si="0"/>
        <v>46225</v>
      </c>
      <c r="AI3" s="52">
        <f t="shared" si="0"/>
        <v>46226</v>
      </c>
      <c r="AJ3" s="52">
        <f t="shared" si="0"/>
        <v>46227</v>
      </c>
      <c r="AK3" s="52">
        <f t="shared" si="0"/>
        <v>46228</v>
      </c>
      <c r="AL3" s="52">
        <f t="shared" si="0"/>
        <v>46229</v>
      </c>
      <c r="AM3" s="52">
        <f t="shared" si="0"/>
        <v>46230</v>
      </c>
      <c r="AN3" s="52">
        <f t="shared" si="0"/>
        <v>46231</v>
      </c>
      <c r="AO3" s="52">
        <f t="shared" si="0"/>
        <v>46232</v>
      </c>
      <c r="AP3" s="52">
        <f t="shared" si="0"/>
        <v>46233</v>
      </c>
      <c r="AQ3" s="52">
        <f t="shared" si="0"/>
        <v>46234</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水</v>
      </c>
      <c r="N4" s="153" t="str">
        <f t="shared" si="1"/>
        <v>木</v>
      </c>
      <c r="O4" s="153" t="str">
        <f t="shared" si="1"/>
        <v>金</v>
      </c>
      <c r="P4" s="153" t="str">
        <f t="shared" si="1"/>
        <v>土</v>
      </c>
      <c r="Q4" s="153" t="str">
        <f t="shared" si="1"/>
        <v>日</v>
      </c>
      <c r="R4" s="153" t="str">
        <f t="shared" si="1"/>
        <v>月</v>
      </c>
      <c r="S4" s="153" t="str">
        <f t="shared" si="1"/>
        <v>火</v>
      </c>
      <c r="T4" s="153" t="str">
        <f t="shared" si="1"/>
        <v>水</v>
      </c>
      <c r="U4" s="153" t="str">
        <f t="shared" si="1"/>
        <v>木</v>
      </c>
      <c r="V4" s="153" t="str">
        <f t="shared" si="1"/>
        <v>金</v>
      </c>
      <c r="W4" s="153" t="str">
        <f t="shared" si="1"/>
        <v>土</v>
      </c>
      <c r="X4" s="153" t="str">
        <f t="shared" si="1"/>
        <v>日</v>
      </c>
      <c r="Y4" s="153" t="str">
        <f t="shared" si="1"/>
        <v>月</v>
      </c>
      <c r="Z4" s="153" t="str">
        <f t="shared" si="1"/>
        <v>火</v>
      </c>
      <c r="AA4" s="153" t="str">
        <f t="shared" si="1"/>
        <v>水</v>
      </c>
      <c r="AB4" s="153" t="str">
        <f t="shared" si="1"/>
        <v>木</v>
      </c>
      <c r="AC4" s="153" t="str">
        <f t="shared" si="1"/>
        <v>金</v>
      </c>
      <c r="AD4" s="153" t="str">
        <f t="shared" si="1"/>
        <v>土</v>
      </c>
      <c r="AE4" s="153" t="str">
        <f t="shared" si="1"/>
        <v>日</v>
      </c>
      <c r="AF4" s="153" t="str">
        <f t="shared" si="1"/>
        <v>月</v>
      </c>
      <c r="AG4" s="153" t="str">
        <f t="shared" si="1"/>
        <v>火</v>
      </c>
      <c r="AH4" s="153" t="str">
        <f t="shared" si="1"/>
        <v>水</v>
      </c>
      <c r="AI4" s="153" t="str">
        <f t="shared" si="1"/>
        <v>木</v>
      </c>
      <c r="AJ4" s="153" t="str">
        <f t="shared" si="1"/>
        <v>金</v>
      </c>
      <c r="AK4" s="153" t="str">
        <f t="shared" si="1"/>
        <v>土</v>
      </c>
      <c r="AL4" s="153" t="str">
        <f t="shared" si="1"/>
        <v>日</v>
      </c>
      <c r="AM4" s="153" t="str">
        <f t="shared" si="1"/>
        <v>月</v>
      </c>
      <c r="AN4" s="153" t="str">
        <f t="shared" si="1"/>
        <v>火</v>
      </c>
      <c r="AO4" s="153" t="str">
        <f t="shared" si="1"/>
        <v>水</v>
      </c>
      <c r="AP4" s="153" t="str">
        <f t="shared" si="1"/>
        <v>木</v>
      </c>
      <c r="AQ4" s="153" t="str">
        <f t="shared" si="1"/>
        <v>金</v>
      </c>
      <c r="AR4" s="153" t="s">
        <v>318</v>
      </c>
      <c r="AS4" s="153" t="s">
        <v>319</v>
      </c>
      <c r="AT4" s="153" t="s">
        <v>320</v>
      </c>
      <c r="AU4" s="153" t="s">
        <v>321</v>
      </c>
      <c r="AV4" s="165"/>
      <c r="AW4" s="171"/>
      <c r="AX4" s="165"/>
      <c r="AY4" s="165"/>
      <c r="AZ4" s="165"/>
      <c r="BA4" s="165"/>
      <c r="BB4" s="164"/>
      <c r="BC4" s="167"/>
      <c r="BD4" s="164"/>
      <c r="BE4" s="62">
        <f>DATE(P1,T1,1)</f>
        <v>46204</v>
      </c>
      <c r="BF4" s="55"/>
    </row>
    <row r="5" spans="1:58" s="54" customFormat="1" ht="24" customHeight="1" x14ac:dyDescent="0.45">
      <c r="A5" s="72">
        <v>1</v>
      </c>
      <c r="B5" s="57" t="s">
        <v>322</v>
      </c>
      <c r="C5" s="57"/>
      <c r="D5" s="57"/>
      <c r="E5" s="57"/>
      <c r="F5" s="57"/>
      <c r="G5" s="57"/>
      <c r="H5" s="57"/>
      <c r="I5" s="57"/>
      <c r="J5" s="57"/>
      <c r="K5" s="57"/>
      <c r="L5" s="57"/>
      <c r="M5" s="56" t="str">
        <f>IF(M$4="土","昼",IF(M$4="日","○",IF(M$4="月","夕","")))</f>
        <v/>
      </c>
      <c r="N5" s="58" t="str">
        <f t="shared" ref="N5:AQ5" si="2">IF(N$4="土","昼",IF(N$4="日","○",IF(N$4="月","夕","")))</f>
        <v/>
      </c>
      <c r="O5" s="56" t="str">
        <f t="shared" si="2"/>
        <v/>
      </c>
      <c r="P5" s="58" t="str">
        <f t="shared" si="2"/>
        <v>昼</v>
      </c>
      <c r="Q5" s="56" t="str">
        <f t="shared" si="2"/>
        <v>○</v>
      </c>
      <c r="R5" s="58" t="str">
        <f t="shared" si="2"/>
        <v>夕</v>
      </c>
      <c r="S5" s="56" t="str">
        <f t="shared" si="2"/>
        <v/>
      </c>
      <c r="T5" s="56" t="str">
        <f t="shared" si="2"/>
        <v/>
      </c>
      <c r="U5" s="58" t="str">
        <f t="shared" si="2"/>
        <v/>
      </c>
      <c r="V5" s="56" t="str">
        <f t="shared" si="2"/>
        <v/>
      </c>
      <c r="W5" s="58" t="str">
        <f t="shared" si="2"/>
        <v>昼</v>
      </c>
      <c r="X5" s="56" t="str">
        <f t="shared" si="2"/>
        <v>○</v>
      </c>
      <c r="Y5" s="58" t="str">
        <f t="shared" si="2"/>
        <v>夕</v>
      </c>
      <c r="Z5" s="56" t="str">
        <f t="shared" si="2"/>
        <v/>
      </c>
      <c r="AA5" s="56" t="str">
        <f t="shared" si="2"/>
        <v/>
      </c>
      <c r="AB5" s="58" t="str">
        <f t="shared" si="2"/>
        <v/>
      </c>
      <c r="AC5" s="56" t="str">
        <f t="shared" si="2"/>
        <v/>
      </c>
      <c r="AD5" s="58" t="str">
        <f t="shared" si="2"/>
        <v>昼</v>
      </c>
      <c r="AE5" s="56" t="str">
        <f t="shared" si="2"/>
        <v>○</v>
      </c>
      <c r="AF5" s="58" t="str">
        <f t="shared" si="2"/>
        <v>夕</v>
      </c>
      <c r="AG5" s="56" t="str">
        <f t="shared" si="2"/>
        <v/>
      </c>
      <c r="AH5" s="56" t="str">
        <f t="shared" si="2"/>
        <v/>
      </c>
      <c r="AI5" s="58" t="str">
        <f t="shared" si="2"/>
        <v/>
      </c>
      <c r="AJ5" s="56" t="str">
        <f t="shared" si="2"/>
        <v/>
      </c>
      <c r="AK5" s="58" t="str">
        <f t="shared" si="2"/>
        <v>昼</v>
      </c>
      <c r="AL5" s="56" t="str">
        <f t="shared" si="2"/>
        <v>○</v>
      </c>
      <c r="AM5" s="58" t="str">
        <f t="shared" si="2"/>
        <v>夕</v>
      </c>
      <c r="AN5" s="56" t="str">
        <f t="shared" si="2"/>
        <v/>
      </c>
      <c r="AO5" s="56" t="str">
        <f t="shared" si="2"/>
        <v/>
      </c>
      <c r="AP5" s="58" t="str">
        <f t="shared" si="2"/>
        <v/>
      </c>
      <c r="AQ5" s="56" t="str">
        <f t="shared" si="2"/>
        <v/>
      </c>
      <c r="AR5" s="56">
        <f t="shared" ref="AR5:AR28" si="3">IF(COUNTIF($M5:$AQ5,"昼")=0,"",COUNTIF($M5:$AQ5,"昼"))</f>
        <v>4</v>
      </c>
      <c r="AS5" s="56">
        <f t="shared" ref="AS5:AS28" si="4">IF(COUNTIF($M5:$AQ5,"○")=0,"",COUNTIF($M5:$AQ5,"○"))</f>
        <v>4</v>
      </c>
      <c r="AT5" s="56" t="str">
        <f t="shared" ref="AT5:AT28" si="5">IF(COUNTIF($M5:$AQ5,"お")=0,"",COUNTIF($M5:$AQ5,"お"))</f>
        <v/>
      </c>
      <c r="AU5" s="56">
        <f t="shared" ref="AU5:AU28" si="6">IF(COUNTIF($M5:$AQ5,"夕")=0,"",COUNTIF($M5:$AQ5,"夕"))</f>
        <v>4</v>
      </c>
      <c r="AV5" s="56">
        <f t="shared" ref="AV5" si="7">IF(COUNTA(M5:AQ5)=0,"",SUM(AR5:AU5))</f>
        <v>12</v>
      </c>
      <c r="AW5" s="56" t="s">
        <v>323</v>
      </c>
      <c r="AX5" s="59" t="s">
        <v>324</v>
      </c>
      <c r="AY5" s="59">
        <v>8025513822</v>
      </c>
      <c r="AZ5" s="59" t="s">
        <v>325</v>
      </c>
      <c r="BA5" s="59">
        <v>8027251721</v>
      </c>
      <c r="BB5" s="66" t="s">
        <v>326</v>
      </c>
      <c r="BC5" s="56">
        <v>3</v>
      </c>
      <c r="BD5" s="88"/>
      <c r="BE5" s="61" t="s">
        <v>327</v>
      </c>
      <c r="BF5" s="55" t="s">
        <v>328</v>
      </c>
    </row>
    <row r="6" spans="1:58" s="54" customFormat="1" ht="24" customHeight="1" x14ac:dyDescent="0.45">
      <c r="A6" s="72">
        <v>2</v>
      </c>
      <c r="B6" s="57" t="s">
        <v>329</v>
      </c>
      <c r="C6" s="57"/>
      <c r="D6" s="57"/>
      <c r="E6" s="57"/>
      <c r="F6" s="57"/>
      <c r="G6" s="57"/>
      <c r="H6" s="57"/>
      <c r="I6" s="57"/>
      <c r="J6" s="57"/>
      <c r="K6" s="57"/>
      <c r="L6" s="57"/>
      <c r="M6" s="56" t="str">
        <f>IF(M$4="土","昼",IF(M$4="日","夕",""))</f>
        <v/>
      </c>
      <c r="N6" s="58" t="str">
        <f t="shared" ref="N6:AQ6" si="8">IF(N$4="土","昼",IF(N$4="日","夕",""))</f>
        <v/>
      </c>
      <c r="O6" s="58" t="str">
        <f t="shared" si="8"/>
        <v/>
      </c>
      <c r="P6" s="58" t="str">
        <f t="shared" si="8"/>
        <v>昼</v>
      </c>
      <c r="Q6" s="58" t="str">
        <f t="shared" si="8"/>
        <v>夕</v>
      </c>
      <c r="R6" s="56" t="str">
        <f t="shared" si="8"/>
        <v/>
      </c>
      <c r="S6" s="56" t="str">
        <f t="shared" si="8"/>
        <v/>
      </c>
      <c r="T6" s="56" t="str">
        <f t="shared" si="8"/>
        <v/>
      </c>
      <c r="U6" s="58" t="str">
        <f t="shared" si="8"/>
        <v/>
      </c>
      <c r="V6" s="58" t="str">
        <f t="shared" si="8"/>
        <v/>
      </c>
      <c r="W6" s="58" t="str">
        <f t="shared" si="8"/>
        <v>昼</v>
      </c>
      <c r="X6" s="58" t="str">
        <f t="shared" si="8"/>
        <v>夕</v>
      </c>
      <c r="Y6" s="56" t="str">
        <f t="shared" si="8"/>
        <v/>
      </c>
      <c r="Z6" s="56" t="str">
        <f t="shared" si="8"/>
        <v/>
      </c>
      <c r="AA6" s="56" t="s">
        <v>318</v>
      </c>
      <c r="AB6" s="58" t="s">
        <v>497</v>
      </c>
      <c r="AC6" s="58" t="str">
        <f t="shared" si="8"/>
        <v/>
      </c>
      <c r="AD6" s="58" t="str">
        <f t="shared" si="8"/>
        <v>昼</v>
      </c>
      <c r="AE6" s="58" t="str">
        <f t="shared" si="8"/>
        <v>夕</v>
      </c>
      <c r="AF6" s="56" t="str">
        <f t="shared" si="8"/>
        <v/>
      </c>
      <c r="AG6" s="56" t="str">
        <f t="shared" si="8"/>
        <v/>
      </c>
      <c r="AH6" s="56" t="str">
        <f t="shared" si="8"/>
        <v/>
      </c>
      <c r="AI6" s="58" t="str">
        <f t="shared" si="8"/>
        <v/>
      </c>
      <c r="AJ6" s="58" t="str">
        <f t="shared" si="8"/>
        <v/>
      </c>
      <c r="AK6" s="58" t="str">
        <f t="shared" si="8"/>
        <v>昼</v>
      </c>
      <c r="AL6" s="58" t="str">
        <f t="shared" si="8"/>
        <v>夕</v>
      </c>
      <c r="AM6" s="56" t="str">
        <f t="shared" si="8"/>
        <v/>
      </c>
      <c r="AN6" s="56" t="str">
        <f t="shared" si="8"/>
        <v/>
      </c>
      <c r="AO6" s="56" t="str">
        <f t="shared" si="8"/>
        <v/>
      </c>
      <c r="AP6" s="58" t="str">
        <f t="shared" si="8"/>
        <v/>
      </c>
      <c r="AQ6" s="58" t="str">
        <f t="shared" si="8"/>
        <v/>
      </c>
      <c r="AR6" s="56">
        <f t="shared" si="3"/>
        <v>5</v>
      </c>
      <c r="AS6" s="56" t="str">
        <f t="shared" si="4"/>
        <v/>
      </c>
      <c r="AT6" s="56" t="str">
        <f t="shared" si="5"/>
        <v/>
      </c>
      <c r="AU6" s="56">
        <f t="shared" si="6"/>
        <v>5</v>
      </c>
      <c r="AV6" s="56">
        <f t="shared" ref="AV6:AV26" si="9">IF(COUNTA(M6:AQ6)=0,"",SUM(AR6:AU6))</f>
        <v>10</v>
      </c>
      <c r="AW6" s="56" t="s">
        <v>330</v>
      </c>
      <c r="AX6" s="59" t="s">
        <v>331</v>
      </c>
      <c r="AY6" s="59">
        <v>9086202017</v>
      </c>
      <c r="AZ6" s="59" t="s">
        <v>332</v>
      </c>
      <c r="BA6" s="59">
        <v>9068675997</v>
      </c>
      <c r="BB6" s="66" t="s">
        <v>326</v>
      </c>
      <c r="BC6" s="56">
        <v>4</v>
      </c>
      <c r="BD6" s="88"/>
      <c r="BE6" s="62">
        <f>DATE(P1,T1+1,1)-1</f>
        <v>46234</v>
      </c>
      <c r="BF6" s="55" t="s">
        <v>333</v>
      </c>
    </row>
    <row r="7" spans="1:58" s="54" customFormat="1" ht="24" customHeight="1" x14ac:dyDescent="0.45">
      <c r="A7" s="72">
        <v>3</v>
      </c>
      <c r="B7" s="57" t="s">
        <v>334</v>
      </c>
      <c r="C7" s="57"/>
      <c r="D7" s="57"/>
      <c r="E7" s="57"/>
      <c r="F7" s="57"/>
      <c r="G7" s="57"/>
      <c r="H7" s="57"/>
      <c r="I7" s="57"/>
      <c r="J7" s="57"/>
      <c r="K7" s="57"/>
      <c r="L7" s="57"/>
      <c r="M7" s="56" t="str">
        <f>IF(M$4="金","昼",IF(M$4="土","○",IF(M$4="日","○",IF(M$4="月","お",""))))</f>
        <v/>
      </c>
      <c r="N7" s="56" t="str">
        <f t="shared" ref="N7:AQ7" si="10">IF(N$4="金","昼",IF(N$4="土","○",IF(N$4="日","○",IF(N$4="月","お",""))))</f>
        <v/>
      </c>
      <c r="O7" s="56" t="str">
        <f t="shared" si="10"/>
        <v>昼</v>
      </c>
      <c r="P7" s="56" t="str">
        <f t="shared" si="10"/>
        <v>○</v>
      </c>
      <c r="Q7" s="56" t="str">
        <f t="shared" si="10"/>
        <v>○</v>
      </c>
      <c r="R7" s="56" t="str">
        <f t="shared" si="10"/>
        <v>お</v>
      </c>
      <c r="S7" s="56" t="str">
        <f t="shared" si="10"/>
        <v/>
      </c>
      <c r="T7" s="56" t="str">
        <f t="shared" si="10"/>
        <v/>
      </c>
      <c r="U7" s="56" t="str">
        <f t="shared" si="10"/>
        <v/>
      </c>
      <c r="V7" s="56" t="str">
        <f t="shared" si="10"/>
        <v>昼</v>
      </c>
      <c r="W7" s="56" t="str">
        <f t="shared" si="10"/>
        <v>○</v>
      </c>
      <c r="X7" s="56" t="str">
        <f t="shared" si="10"/>
        <v>○</v>
      </c>
      <c r="Y7" s="56" t="str">
        <f t="shared" si="10"/>
        <v>お</v>
      </c>
      <c r="Z7" s="56" t="str">
        <f t="shared" si="10"/>
        <v/>
      </c>
      <c r="AA7" s="56" t="str">
        <f t="shared" si="10"/>
        <v/>
      </c>
      <c r="AB7" s="56" t="str">
        <f t="shared" si="10"/>
        <v/>
      </c>
      <c r="AC7" s="56" t="str">
        <f t="shared" si="10"/>
        <v>昼</v>
      </c>
      <c r="AD7" s="56" t="str">
        <f t="shared" si="10"/>
        <v>○</v>
      </c>
      <c r="AE7" s="56" t="str">
        <f t="shared" si="10"/>
        <v>○</v>
      </c>
      <c r="AF7" s="56" t="str">
        <f t="shared" si="10"/>
        <v>お</v>
      </c>
      <c r="AG7" s="56" t="str">
        <f t="shared" si="10"/>
        <v/>
      </c>
      <c r="AH7" s="56" t="str">
        <f t="shared" si="10"/>
        <v/>
      </c>
      <c r="AI7" s="56" t="str">
        <f t="shared" si="10"/>
        <v/>
      </c>
      <c r="AJ7" s="56" t="str">
        <f t="shared" si="10"/>
        <v>昼</v>
      </c>
      <c r="AK7" s="56" t="str">
        <f t="shared" si="10"/>
        <v>○</v>
      </c>
      <c r="AL7" s="56" t="str">
        <f t="shared" si="10"/>
        <v>○</v>
      </c>
      <c r="AM7" s="56" t="str">
        <f t="shared" si="10"/>
        <v>お</v>
      </c>
      <c r="AN7" s="56" t="str">
        <f t="shared" si="10"/>
        <v/>
      </c>
      <c r="AO7" s="56" t="str">
        <f t="shared" si="10"/>
        <v/>
      </c>
      <c r="AP7" s="56" t="str">
        <f t="shared" si="10"/>
        <v/>
      </c>
      <c r="AQ7" s="56" t="str">
        <f t="shared" si="10"/>
        <v>昼</v>
      </c>
      <c r="AR7" s="56">
        <f t="shared" si="3"/>
        <v>5</v>
      </c>
      <c r="AS7" s="56">
        <f t="shared" si="4"/>
        <v>8</v>
      </c>
      <c r="AT7" s="56">
        <f t="shared" si="5"/>
        <v>4</v>
      </c>
      <c r="AU7" s="56" t="str">
        <f t="shared" si="6"/>
        <v/>
      </c>
      <c r="AV7" s="56">
        <f t="shared" si="9"/>
        <v>17</v>
      </c>
      <c r="AW7" s="56" t="s">
        <v>330</v>
      </c>
      <c r="AX7" s="56" t="s">
        <v>335</v>
      </c>
      <c r="AY7" s="59">
        <v>8039457095</v>
      </c>
      <c r="AZ7" s="56" t="s">
        <v>336</v>
      </c>
      <c r="BA7" s="59">
        <v>8039162381</v>
      </c>
      <c r="BB7" s="66" t="s">
        <v>337</v>
      </c>
      <c r="BC7" s="56">
        <v>3</v>
      </c>
      <c r="BD7" s="88"/>
      <c r="BE7" s="61"/>
      <c r="BF7" s="55" t="s">
        <v>338</v>
      </c>
    </row>
    <row r="8" spans="1:58" s="54" customFormat="1" ht="24" customHeight="1" x14ac:dyDescent="0.45">
      <c r="A8" s="72">
        <v>4</v>
      </c>
      <c r="B8" s="75" t="s">
        <v>339</v>
      </c>
      <c r="C8" s="57"/>
      <c r="D8" s="57"/>
      <c r="E8" s="57"/>
      <c r="F8" s="57"/>
      <c r="G8" s="57"/>
      <c r="H8" s="57"/>
      <c r="I8" s="57"/>
      <c r="J8" s="57"/>
      <c r="K8" s="57"/>
      <c r="L8" s="57"/>
      <c r="M8" s="56"/>
      <c r="N8" s="56"/>
      <c r="O8" s="56"/>
      <c r="P8" s="56"/>
      <c r="Q8" s="56"/>
      <c r="R8" s="56"/>
      <c r="S8" s="56"/>
      <c r="T8" s="56"/>
      <c r="U8" s="56"/>
      <c r="V8" s="56"/>
      <c r="W8" s="56"/>
      <c r="X8" s="56"/>
      <c r="Y8" s="56"/>
      <c r="Z8" s="56"/>
      <c r="AA8" s="56"/>
      <c r="AB8" s="56"/>
      <c r="AC8" s="56"/>
      <c r="AD8" s="56"/>
      <c r="AE8" s="56"/>
      <c r="AF8" s="56" t="s">
        <v>318</v>
      </c>
      <c r="AG8" s="56" t="s">
        <v>320</v>
      </c>
      <c r="AH8" s="56"/>
      <c r="AI8" s="56"/>
      <c r="AJ8" s="56"/>
      <c r="AK8" s="64"/>
      <c r="AL8" s="56"/>
      <c r="AM8" s="56"/>
      <c r="AN8" s="56"/>
      <c r="AO8" s="56"/>
      <c r="AP8" s="56"/>
      <c r="AQ8" s="56"/>
      <c r="AR8" s="56">
        <f t="shared" si="3"/>
        <v>1</v>
      </c>
      <c r="AS8" s="56" t="str">
        <f t="shared" si="4"/>
        <v/>
      </c>
      <c r="AT8" s="56">
        <f t="shared" si="5"/>
        <v>1</v>
      </c>
      <c r="AU8" s="56" t="str">
        <f t="shared" si="6"/>
        <v/>
      </c>
      <c r="AV8" s="56">
        <f t="shared" si="9"/>
        <v>2</v>
      </c>
      <c r="AW8" s="56" t="s">
        <v>323</v>
      </c>
      <c r="AX8" s="56" t="s">
        <v>340</v>
      </c>
      <c r="AY8" s="59">
        <v>9037963062</v>
      </c>
      <c r="AZ8" s="56" t="s">
        <v>341</v>
      </c>
      <c r="BA8" s="59">
        <v>9075873470</v>
      </c>
      <c r="BB8" s="56" t="s">
        <v>326</v>
      </c>
      <c r="BC8" s="56">
        <v>3</v>
      </c>
      <c r="BD8" s="88"/>
      <c r="BE8" s="53"/>
      <c r="BF8" s="55"/>
    </row>
    <row r="9" spans="1:58" s="54" customFormat="1" ht="24" customHeight="1" x14ac:dyDescent="0.45">
      <c r="A9" s="72">
        <v>5</v>
      </c>
      <c r="B9" s="57" t="s">
        <v>342</v>
      </c>
      <c r="C9" s="57"/>
      <c r="D9" s="57"/>
      <c r="E9" s="57"/>
      <c r="F9" s="57"/>
      <c r="G9" s="57"/>
      <c r="H9" s="57"/>
      <c r="I9" s="57"/>
      <c r="J9" s="57" t="str">
        <f>IF(COUNTA(C9:I9)=0,"",COUNTA(C9:I9))</f>
        <v/>
      </c>
      <c r="K9" s="57"/>
      <c r="L9" s="57"/>
      <c r="M9" s="56" t="str">
        <f>IF(M$4="火","昼",IF(M$4="水","○",IF(M$4="木","夕","")))</f>
        <v>○</v>
      </c>
      <c r="N9" s="58" t="str">
        <f t="shared" ref="N9:AO9" si="11">IF(N$4="火","昼",IF(N$4="水","○",IF(N$4="木","夕","")))</f>
        <v>夕</v>
      </c>
      <c r="O9" s="56" t="str">
        <f t="shared" si="11"/>
        <v/>
      </c>
      <c r="P9" s="56" t="str">
        <f t="shared" si="11"/>
        <v/>
      </c>
      <c r="Q9" s="56" t="str">
        <f t="shared" si="11"/>
        <v/>
      </c>
      <c r="R9" s="56" t="str">
        <f t="shared" si="11"/>
        <v/>
      </c>
      <c r="S9" s="56" t="str">
        <f t="shared" si="11"/>
        <v>昼</v>
      </c>
      <c r="T9" s="56" t="str">
        <f t="shared" si="11"/>
        <v>○</v>
      </c>
      <c r="U9" s="56" t="s">
        <v>319</v>
      </c>
      <c r="V9" s="58" t="s">
        <v>321</v>
      </c>
      <c r="W9" s="56" t="str">
        <f t="shared" si="11"/>
        <v/>
      </c>
      <c r="X9" s="56" t="str">
        <f t="shared" si="11"/>
        <v/>
      </c>
      <c r="Y9" s="56" t="str">
        <f t="shared" si="11"/>
        <v/>
      </c>
      <c r="Z9" s="56" t="str">
        <f t="shared" si="11"/>
        <v>昼</v>
      </c>
      <c r="AA9" s="56" t="str">
        <f t="shared" si="11"/>
        <v>○</v>
      </c>
      <c r="AB9" s="58" t="str">
        <f t="shared" si="11"/>
        <v>夕</v>
      </c>
      <c r="AC9" s="56" t="str">
        <f t="shared" si="11"/>
        <v/>
      </c>
      <c r="AD9" s="56" t="str">
        <f t="shared" si="11"/>
        <v/>
      </c>
      <c r="AE9" s="56" t="str">
        <f t="shared" si="11"/>
        <v/>
      </c>
      <c r="AF9" s="56" t="str">
        <f t="shared" si="11"/>
        <v/>
      </c>
      <c r="AG9" s="56" t="str">
        <f t="shared" si="11"/>
        <v>昼</v>
      </c>
      <c r="AH9" s="56" t="str">
        <f t="shared" si="11"/>
        <v>○</v>
      </c>
      <c r="AI9" s="56" t="s">
        <v>319</v>
      </c>
      <c r="AJ9" s="58" t="s">
        <v>321</v>
      </c>
      <c r="AK9" s="56" t="str">
        <f t="shared" si="11"/>
        <v/>
      </c>
      <c r="AL9" s="56" t="str">
        <f t="shared" si="11"/>
        <v/>
      </c>
      <c r="AM9" s="56" t="str">
        <f t="shared" si="11"/>
        <v/>
      </c>
      <c r="AN9" s="56" t="str">
        <f t="shared" si="11"/>
        <v>昼</v>
      </c>
      <c r="AO9" s="56" t="str">
        <f t="shared" si="11"/>
        <v>○</v>
      </c>
      <c r="AP9" s="56" t="s">
        <v>319</v>
      </c>
      <c r="AQ9" s="58" t="s">
        <v>321</v>
      </c>
      <c r="AR9" s="56">
        <f t="shared" si="3"/>
        <v>4</v>
      </c>
      <c r="AS9" s="56">
        <f t="shared" si="4"/>
        <v>8</v>
      </c>
      <c r="AT9" s="56" t="str">
        <f t="shared" si="5"/>
        <v/>
      </c>
      <c r="AU9" s="56">
        <f t="shared" si="6"/>
        <v>5</v>
      </c>
      <c r="AV9" s="56">
        <f t="shared" si="9"/>
        <v>17</v>
      </c>
      <c r="AW9" s="56" t="s">
        <v>323</v>
      </c>
      <c r="AX9" s="56" t="s">
        <v>343</v>
      </c>
      <c r="AY9" s="59">
        <v>9019466851</v>
      </c>
      <c r="AZ9" s="56" t="s">
        <v>336</v>
      </c>
      <c r="BA9" s="59">
        <v>8039162381</v>
      </c>
      <c r="BB9" s="66" t="s">
        <v>326</v>
      </c>
      <c r="BC9" s="56">
        <v>2</v>
      </c>
      <c r="BD9" s="88">
        <v>46630</v>
      </c>
      <c r="BE9" s="53"/>
      <c r="BF9" s="55"/>
    </row>
    <row r="10" spans="1:58" s="54" customFormat="1" ht="24" customHeight="1" x14ac:dyDescent="0.45">
      <c r="A10" s="72">
        <v>6</v>
      </c>
      <c r="B10" s="57" t="s">
        <v>344</v>
      </c>
      <c r="C10" s="57"/>
      <c r="D10" s="57"/>
      <c r="E10" s="57"/>
      <c r="F10" s="57"/>
      <c r="G10" s="57"/>
      <c r="H10" s="57"/>
      <c r="I10" s="57"/>
      <c r="J10" s="57"/>
      <c r="K10" s="57"/>
      <c r="L10" s="57"/>
      <c r="M10" s="76" t="s">
        <v>319</v>
      </c>
      <c r="N10" s="56" t="s">
        <v>319</v>
      </c>
      <c r="O10" s="56" t="s">
        <v>319</v>
      </c>
      <c r="P10" s="76" t="s">
        <v>319</v>
      </c>
      <c r="Q10" s="56" t="s">
        <v>319</v>
      </c>
      <c r="R10" s="56" t="s">
        <v>319</v>
      </c>
      <c r="S10" s="56" t="s">
        <v>319</v>
      </c>
      <c r="T10" s="76" t="s">
        <v>319</v>
      </c>
      <c r="U10" s="56" t="s">
        <v>319</v>
      </c>
      <c r="V10" s="56" t="s">
        <v>319</v>
      </c>
      <c r="W10" s="58" t="s">
        <v>321</v>
      </c>
      <c r="X10" s="56"/>
      <c r="Y10" s="56"/>
      <c r="Z10" s="56"/>
      <c r="AA10" s="56"/>
      <c r="AB10" s="56"/>
      <c r="AC10" s="56"/>
      <c r="AD10" s="56"/>
      <c r="AE10" s="56" t="str">
        <f t="shared" ref="AE10:AG10" si="12">IF(AE$4="木","昼",IF(AE$4="金","○",IF(AE$4="土","夕","")))</f>
        <v/>
      </c>
      <c r="AF10" s="56" t="str">
        <f t="shared" si="12"/>
        <v/>
      </c>
      <c r="AG10" s="56" t="str">
        <f t="shared" si="12"/>
        <v/>
      </c>
      <c r="AH10" s="56"/>
      <c r="AI10" s="56" t="s">
        <v>318</v>
      </c>
      <c r="AJ10" s="56" t="s">
        <v>319</v>
      </c>
      <c r="AK10" s="58" t="s">
        <v>321</v>
      </c>
      <c r="AL10" s="56"/>
      <c r="AM10" s="56"/>
      <c r="AN10" s="56"/>
      <c r="AO10" s="56"/>
      <c r="AP10" s="56"/>
      <c r="AQ10" s="56"/>
      <c r="AR10" s="56">
        <f t="shared" si="3"/>
        <v>1</v>
      </c>
      <c r="AS10" s="56">
        <f t="shared" si="4"/>
        <v>11</v>
      </c>
      <c r="AT10" s="56" t="str">
        <f t="shared" si="5"/>
        <v/>
      </c>
      <c r="AU10" s="56">
        <f t="shared" si="6"/>
        <v>2</v>
      </c>
      <c r="AV10" s="56">
        <f t="shared" si="9"/>
        <v>14</v>
      </c>
      <c r="AW10" s="56" t="s">
        <v>323</v>
      </c>
      <c r="AX10" s="56" t="s">
        <v>345</v>
      </c>
      <c r="AY10" s="59">
        <v>9068975316</v>
      </c>
      <c r="AZ10" s="56" t="s">
        <v>346</v>
      </c>
      <c r="BA10" s="59">
        <v>8033750538</v>
      </c>
      <c r="BB10" s="66" t="s">
        <v>347</v>
      </c>
      <c r="BC10" s="56">
        <v>2</v>
      </c>
      <c r="BD10" s="66"/>
      <c r="BE10" s="53"/>
      <c r="BF10" s="55"/>
    </row>
    <row r="11" spans="1:58" s="54" customFormat="1" ht="24" customHeight="1" x14ac:dyDescent="0.45">
      <c r="A11" s="72">
        <v>7</v>
      </c>
      <c r="B11" s="57" t="s">
        <v>348</v>
      </c>
      <c r="C11" s="57"/>
      <c r="D11" s="57"/>
      <c r="E11" s="57"/>
      <c r="F11" s="57"/>
      <c r="G11" s="57"/>
      <c r="H11" s="57"/>
      <c r="I11" s="57"/>
      <c r="J11" s="57"/>
      <c r="K11" s="57"/>
      <c r="L11" s="57"/>
      <c r="M11" s="56" t="s">
        <v>319</v>
      </c>
      <c r="N11" s="56" t="s">
        <v>319</v>
      </c>
      <c r="O11" s="76" t="s">
        <v>319</v>
      </c>
      <c r="P11" s="56" t="s">
        <v>319</v>
      </c>
      <c r="Q11" s="56" t="s">
        <v>319</v>
      </c>
      <c r="R11" s="56" t="s">
        <v>319</v>
      </c>
      <c r="S11" s="76" t="s">
        <v>319</v>
      </c>
      <c r="T11" s="56" t="s">
        <v>319</v>
      </c>
      <c r="U11" s="56" t="s">
        <v>319</v>
      </c>
      <c r="V11" s="76" t="s">
        <v>319</v>
      </c>
      <c r="W11" s="56" t="s">
        <v>319</v>
      </c>
      <c r="X11" s="56" t="s">
        <v>319</v>
      </c>
      <c r="Y11" s="56" t="s">
        <v>319</v>
      </c>
      <c r="Z11" s="76" t="s">
        <v>319</v>
      </c>
      <c r="AA11" s="56" t="s">
        <v>319</v>
      </c>
      <c r="AB11" s="56" t="s">
        <v>319</v>
      </c>
      <c r="AC11" s="76" t="s">
        <v>319</v>
      </c>
      <c r="AD11" s="56" t="s">
        <v>319</v>
      </c>
      <c r="AE11" s="56" t="s">
        <v>319</v>
      </c>
      <c r="AF11" s="56" t="s">
        <v>319</v>
      </c>
      <c r="AG11" s="76" t="s">
        <v>319</v>
      </c>
      <c r="AH11" s="56" t="s">
        <v>319</v>
      </c>
      <c r="AI11" s="56" t="s">
        <v>319</v>
      </c>
      <c r="AJ11" s="76" t="s">
        <v>319</v>
      </c>
      <c r="AK11" s="56" t="s">
        <v>319</v>
      </c>
      <c r="AL11" s="56" t="s">
        <v>319</v>
      </c>
      <c r="AM11" s="56" t="s">
        <v>319</v>
      </c>
      <c r="AN11" s="76" t="s">
        <v>319</v>
      </c>
      <c r="AO11" s="56" t="s">
        <v>319</v>
      </c>
      <c r="AP11" s="56" t="s">
        <v>319</v>
      </c>
      <c r="AQ11" s="76" t="s">
        <v>319</v>
      </c>
      <c r="AR11" s="56" t="str">
        <f t="shared" si="3"/>
        <v/>
      </c>
      <c r="AS11" s="56">
        <f t="shared" si="4"/>
        <v>31</v>
      </c>
      <c r="AT11" s="56" t="str">
        <f t="shared" si="5"/>
        <v/>
      </c>
      <c r="AU11" s="56" t="str">
        <f t="shared" si="6"/>
        <v/>
      </c>
      <c r="AV11" s="56">
        <f t="shared" si="9"/>
        <v>31</v>
      </c>
      <c r="AW11" s="56" t="s">
        <v>330</v>
      </c>
      <c r="AX11" s="56" t="s">
        <v>349</v>
      </c>
      <c r="AY11" s="59">
        <v>9013413414</v>
      </c>
      <c r="AZ11" s="56" t="s">
        <v>350</v>
      </c>
      <c r="BA11" s="59">
        <v>9068641724</v>
      </c>
      <c r="BB11" s="66" t="s">
        <v>337</v>
      </c>
      <c r="BC11" s="56">
        <v>3</v>
      </c>
      <c r="BD11" s="88"/>
      <c r="BE11" s="53"/>
      <c r="BF11" s="55"/>
    </row>
    <row r="12" spans="1:58" s="54" customFormat="1" ht="24" customHeight="1" x14ac:dyDescent="0.45">
      <c r="A12" s="72">
        <v>8</v>
      </c>
      <c r="B12" s="57" t="s">
        <v>351</v>
      </c>
      <c r="C12" s="57"/>
      <c r="D12" s="57"/>
      <c r="E12" s="57"/>
      <c r="F12" s="57"/>
      <c r="G12" s="57"/>
      <c r="H12" s="57"/>
      <c r="I12" s="57"/>
      <c r="J12" s="57"/>
      <c r="K12" s="57"/>
      <c r="L12" s="57"/>
      <c r="M12" s="56" t="str">
        <f>IF(M$4="土","昼",IF(M$4="日","お",""))</f>
        <v/>
      </c>
      <c r="N12" s="58" t="str">
        <f t="shared" ref="N12:AM12" si="13">IF(N$4="土","昼",IF(N$4="日","お",""))</f>
        <v/>
      </c>
      <c r="O12" s="58" t="str">
        <f t="shared" si="13"/>
        <v/>
      </c>
      <c r="P12" s="58" t="str">
        <f t="shared" si="13"/>
        <v>昼</v>
      </c>
      <c r="Q12" s="58" t="str">
        <f t="shared" si="13"/>
        <v>お</v>
      </c>
      <c r="R12" s="56" t="str">
        <f t="shared" si="13"/>
        <v/>
      </c>
      <c r="S12" s="56" t="str">
        <f t="shared" si="13"/>
        <v/>
      </c>
      <c r="T12" s="56" t="str">
        <f t="shared" si="13"/>
        <v/>
      </c>
      <c r="U12" s="58" t="str">
        <f t="shared" si="13"/>
        <v/>
      </c>
      <c r="V12" s="58" t="str">
        <f t="shared" si="13"/>
        <v/>
      </c>
      <c r="W12" s="58" t="str">
        <f t="shared" si="13"/>
        <v>昼</v>
      </c>
      <c r="X12" s="58" t="str">
        <f t="shared" si="13"/>
        <v>お</v>
      </c>
      <c r="Y12" s="56" t="str">
        <f t="shared" si="13"/>
        <v/>
      </c>
      <c r="Z12" s="56" t="str">
        <f t="shared" si="13"/>
        <v/>
      </c>
      <c r="AA12" s="56" t="str">
        <f t="shared" si="13"/>
        <v/>
      </c>
      <c r="AB12" s="58" t="str">
        <f t="shared" si="13"/>
        <v/>
      </c>
      <c r="AC12" s="58" t="str">
        <f t="shared" si="13"/>
        <v/>
      </c>
      <c r="AD12" s="58"/>
      <c r="AE12" s="58"/>
      <c r="AF12" s="56" t="str">
        <f t="shared" si="13"/>
        <v/>
      </c>
      <c r="AG12" s="56" t="str">
        <f t="shared" si="13"/>
        <v/>
      </c>
      <c r="AH12" s="56" t="str">
        <f t="shared" si="13"/>
        <v/>
      </c>
      <c r="AI12" s="58" t="str">
        <f t="shared" si="13"/>
        <v/>
      </c>
      <c r="AJ12" s="58" t="str">
        <f t="shared" si="13"/>
        <v/>
      </c>
      <c r="AK12" s="58" t="str">
        <f t="shared" si="13"/>
        <v>昼</v>
      </c>
      <c r="AL12" s="58" t="str">
        <f t="shared" si="13"/>
        <v>お</v>
      </c>
      <c r="AM12" s="56" t="str">
        <f t="shared" si="13"/>
        <v/>
      </c>
      <c r="AN12" s="56"/>
      <c r="AO12" s="56"/>
      <c r="AP12" s="57"/>
      <c r="AQ12" s="58"/>
      <c r="AR12" s="56">
        <f t="shared" si="3"/>
        <v>3</v>
      </c>
      <c r="AS12" s="56" t="str">
        <f t="shared" si="4"/>
        <v/>
      </c>
      <c r="AT12" s="56">
        <f t="shared" si="5"/>
        <v>3</v>
      </c>
      <c r="AU12" s="56" t="str">
        <f t="shared" si="6"/>
        <v/>
      </c>
      <c r="AV12" s="56">
        <f t="shared" si="9"/>
        <v>6</v>
      </c>
      <c r="AW12" s="56" t="s">
        <v>323</v>
      </c>
      <c r="AX12" s="56" t="s">
        <v>353</v>
      </c>
      <c r="AY12" s="59">
        <v>9097873561</v>
      </c>
      <c r="AZ12" s="56" t="s">
        <v>346</v>
      </c>
      <c r="BA12" s="59">
        <v>8033750537</v>
      </c>
      <c r="BB12" s="66" t="s">
        <v>347</v>
      </c>
      <c r="BC12" s="56">
        <v>1</v>
      </c>
      <c r="BD12" s="88"/>
      <c r="BE12" s="53"/>
      <c r="BF12" s="55"/>
    </row>
    <row r="13" spans="1:58" s="54" customFormat="1" ht="24" customHeight="1" x14ac:dyDescent="0.45">
      <c r="A13" s="72">
        <v>9</v>
      </c>
      <c r="B13" s="57" t="s">
        <v>354</v>
      </c>
      <c r="C13" s="57"/>
      <c r="D13" s="57"/>
      <c r="E13" s="57"/>
      <c r="F13" s="57"/>
      <c r="G13" s="57"/>
      <c r="H13" s="57"/>
      <c r="I13" s="57"/>
      <c r="J13" s="57"/>
      <c r="K13" s="57"/>
      <c r="L13" s="57"/>
      <c r="M13" s="56"/>
      <c r="N13" s="56"/>
      <c r="O13" s="56"/>
      <c r="P13" s="56"/>
      <c r="Q13" s="56"/>
      <c r="R13" s="56"/>
      <c r="S13" s="56"/>
      <c r="T13" s="56"/>
      <c r="U13" s="56"/>
      <c r="V13" s="58"/>
      <c r="W13" s="56"/>
      <c r="X13" s="56"/>
      <c r="Y13" s="56"/>
      <c r="Z13" s="56"/>
      <c r="AA13" s="56"/>
      <c r="AB13" s="56"/>
      <c r="AC13" s="56"/>
      <c r="AD13" s="56"/>
      <c r="AE13" s="58"/>
      <c r="AF13" s="56"/>
      <c r="AG13" s="56"/>
      <c r="AH13" s="56"/>
      <c r="AI13" s="56"/>
      <c r="AJ13" s="56"/>
      <c r="AK13" s="56"/>
      <c r="AL13" s="56"/>
      <c r="AM13" s="56"/>
      <c r="AN13" s="56"/>
      <c r="AO13" s="56"/>
      <c r="AP13" s="56"/>
      <c r="AQ13" s="56"/>
      <c r="AR13" s="56" t="str">
        <f t="shared" si="3"/>
        <v/>
      </c>
      <c r="AS13" s="56" t="str">
        <f t="shared" si="4"/>
        <v/>
      </c>
      <c r="AT13" s="56" t="str">
        <f t="shared" si="5"/>
        <v/>
      </c>
      <c r="AU13" s="56" t="str">
        <f t="shared" si="6"/>
        <v/>
      </c>
      <c r="AV13" s="56" t="str">
        <f t="shared" si="9"/>
        <v/>
      </c>
      <c r="AW13" s="56" t="s">
        <v>323</v>
      </c>
      <c r="AX13" s="56" t="s">
        <v>355</v>
      </c>
      <c r="AY13" s="59">
        <v>9094067262</v>
      </c>
      <c r="AZ13" s="56" t="s">
        <v>356</v>
      </c>
      <c r="BA13" s="59">
        <v>7012498633</v>
      </c>
      <c r="BB13" s="66" t="s">
        <v>326</v>
      </c>
      <c r="BC13" s="56">
        <v>2</v>
      </c>
      <c r="BD13" s="88"/>
      <c r="BE13" s="53"/>
      <c r="BF13" s="55"/>
    </row>
    <row r="14" spans="1:58" s="54" customFormat="1" ht="24" customHeight="1" x14ac:dyDescent="0.45">
      <c r="A14" s="72">
        <v>10</v>
      </c>
      <c r="B14" s="57" t="s">
        <v>357</v>
      </c>
      <c r="C14" s="57"/>
      <c r="D14" s="57"/>
      <c r="E14" s="57"/>
      <c r="F14" s="57"/>
      <c r="G14" s="57"/>
      <c r="H14" s="57"/>
      <c r="I14" s="57"/>
      <c r="J14" s="57"/>
      <c r="K14" s="57"/>
      <c r="L14" s="57"/>
      <c r="M14" s="56" t="s">
        <v>319</v>
      </c>
      <c r="N14" s="76" t="s">
        <v>319</v>
      </c>
      <c r="O14" s="56" t="s">
        <v>319</v>
      </c>
      <c r="P14" s="56" t="s">
        <v>319</v>
      </c>
      <c r="Q14" s="56" t="s">
        <v>319</v>
      </c>
      <c r="R14" s="76" t="s">
        <v>319</v>
      </c>
      <c r="S14" s="56" t="s">
        <v>319</v>
      </c>
      <c r="T14" s="56" t="s">
        <v>319</v>
      </c>
      <c r="U14" s="76" t="s">
        <v>319</v>
      </c>
      <c r="V14" s="56" t="s">
        <v>319</v>
      </c>
      <c r="W14" s="56" t="s">
        <v>319</v>
      </c>
      <c r="X14" s="56" t="s">
        <v>319</v>
      </c>
      <c r="Y14" s="76" t="s">
        <v>319</v>
      </c>
      <c r="Z14" s="56" t="s">
        <v>319</v>
      </c>
      <c r="AA14" s="56" t="s">
        <v>319</v>
      </c>
      <c r="AB14" s="76" t="s">
        <v>319</v>
      </c>
      <c r="AC14" s="56" t="s">
        <v>319</v>
      </c>
      <c r="AD14" s="56" t="s">
        <v>319</v>
      </c>
      <c r="AE14" s="56" t="s">
        <v>319</v>
      </c>
      <c r="AF14" s="76" t="s">
        <v>319</v>
      </c>
      <c r="AG14" s="56" t="s">
        <v>319</v>
      </c>
      <c r="AH14" s="56" t="s">
        <v>319</v>
      </c>
      <c r="AI14" s="56" t="s">
        <v>320</v>
      </c>
      <c r="AJ14" s="56"/>
      <c r="AK14" s="64"/>
      <c r="AL14" s="64"/>
      <c r="AM14" s="56" t="s">
        <v>318</v>
      </c>
      <c r="AN14" s="56" t="s">
        <v>319</v>
      </c>
      <c r="AO14" s="56" t="s">
        <v>319</v>
      </c>
      <c r="AP14" s="76" t="s">
        <v>319</v>
      </c>
      <c r="AQ14" s="56" t="s">
        <v>319</v>
      </c>
      <c r="AR14" s="56">
        <f t="shared" si="3"/>
        <v>1</v>
      </c>
      <c r="AS14" s="56">
        <f t="shared" si="4"/>
        <v>26</v>
      </c>
      <c r="AT14" s="56">
        <f t="shared" si="5"/>
        <v>1</v>
      </c>
      <c r="AU14" s="56" t="str">
        <f t="shared" si="6"/>
        <v/>
      </c>
      <c r="AV14" s="56">
        <f t="shared" si="9"/>
        <v>28</v>
      </c>
      <c r="AW14" s="56" t="s">
        <v>330</v>
      </c>
      <c r="AX14" s="56" t="s">
        <v>358</v>
      </c>
      <c r="AY14" s="59">
        <v>8035335927</v>
      </c>
      <c r="AZ14" s="56" t="s">
        <v>359</v>
      </c>
      <c r="BA14" s="59">
        <v>9082902739</v>
      </c>
      <c r="BB14" s="66" t="s">
        <v>360</v>
      </c>
      <c r="BC14" s="56">
        <v>3</v>
      </c>
      <c r="BD14" s="88"/>
      <c r="BE14" s="53"/>
      <c r="BF14" s="55"/>
    </row>
    <row r="15" spans="1:58" s="54" customFormat="1" ht="24" customHeight="1" x14ac:dyDescent="0.45">
      <c r="A15" s="72">
        <v>11</v>
      </c>
      <c r="B15" s="57" t="s">
        <v>378</v>
      </c>
      <c r="C15" s="57"/>
      <c r="D15" s="57"/>
      <c r="E15" s="57"/>
      <c r="F15" s="57"/>
      <c r="G15" s="57"/>
      <c r="H15" s="57"/>
      <c r="I15" s="57"/>
      <c r="J15" s="57"/>
      <c r="K15" s="57"/>
      <c r="L15" s="57"/>
      <c r="M15" s="56" t="str">
        <f>IF(M$4="月","昼",IF(M$4="火","○",IF(M$4="水","○",IF(M$4="木","お",""))))</f>
        <v>○</v>
      </c>
      <c r="N15" s="56" t="str">
        <f t="shared" ref="N15:AQ15" si="14">IF(N$4="月","昼",IF(N$4="火","○",IF(N$4="水","○",IF(N$4="木","お",""))))</f>
        <v>お</v>
      </c>
      <c r="O15" s="56" t="str">
        <f t="shared" si="14"/>
        <v/>
      </c>
      <c r="P15" s="56" t="str">
        <f t="shared" si="14"/>
        <v/>
      </c>
      <c r="Q15" s="56" t="str">
        <f t="shared" si="14"/>
        <v/>
      </c>
      <c r="R15" s="56"/>
      <c r="S15" s="56"/>
      <c r="T15" s="56"/>
      <c r="U15" s="56"/>
      <c r="V15" s="56"/>
      <c r="W15" s="56" t="str">
        <f t="shared" si="14"/>
        <v/>
      </c>
      <c r="X15" s="56" t="str">
        <f t="shared" si="14"/>
        <v/>
      </c>
      <c r="Y15" s="56" t="str">
        <f t="shared" si="14"/>
        <v>昼</v>
      </c>
      <c r="Z15" s="56" t="str">
        <f t="shared" si="14"/>
        <v>○</v>
      </c>
      <c r="AA15" s="56" t="str">
        <f t="shared" si="14"/>
        <v>○</v>
      </c>
      <c r="AB15" s="56" t="str">
        <f t="shared" si="14"/>
        <v>お</v>
      </c>
      <c r="AC15" s="56" t="str">
        <f t="shared" si="14"/>
        <v/>
      </c>
      <c r="AD15" s="56" t="str">
        <f t="shared" si="14"/>
        <v/>
      </c>
      <c r="AE15" s="56" t="str">
        <f t="shared" si="14"/>
        <v/>
      </c>
      <c r="AF15" s="145" t="str">
        <f t="shared" si="14"/>
        <v>昼</v>
      </c>
      <c r="AG15" s="56" t="str">
        <f t="shared" si="14"/>
        <v>○</v>
      </c>
      <c r="AH15" s="56" t="str">
        <f t="shared" si="14"/>
        <v>○</v>
      </c>
      <c r="AI15" s="56" t="str">
        <f t="shared" si="14"/>
        <v>お</v>
      </c>
      <c r="AJ15" s="56" t="str">
        <f t="shared" si="14"/>
        <v/>
      </c>
      <c r="AK15" s="56" t="str">
        <f t="shared" si="14"/>
        <v/>
      </c>
      <c r="AL15" s="56" t="str">
        <f t="shared" si="14"/>
        <v/>
      </c>
      <c r="AM15" s="145" t="str">
        <f t="shared" si="14"/>
        <v>昼</v>
      </c>
      <c r="AN15" s="56" t="str">
        <f t="shared" si="14"/>
        <v>○</v>
      </c>
      <c r="AO15" s="56" t="str">
        <f t="shared" si="14"/>
        <v>○</v>
      </c>
      <c r="AP15" s="56" t="str">
        <f t="shared" si="14"/>
        <v>お</v>
      </c>
      <c r="AQ15" s="56" t="str">
        <f t="shared" si="14"/>
        <v/>
      </c>
      <c r="AR15" s="56">
        <f t="shared" si="3"/>
        <v>3</v>
      </c>
      <c r="AS15" s="56">
        <f t="shared" si="4"/>
        <v>7</v>
      </c>
      <c r="AT15" s="56">
        <f t="shared" si="5"/>
        <v>4</v>
      </c>
      <c r="AU15" s="56" t="str">
        <f t="shared" si="6"/>
        <v/>
      </c>
      <c r="AV15" s="56">
        <f t="shared" si="9"/>
        <v>14</v>
      </c>
      <c r="AW15" s="56" t="s">
        <v>330</v>
      </c>
      <c r="AX15" s="56" t="s">
        <v>379</v>
      </c>
      <c r="AY15" s="59">
        <v>9019438341</v>
      </c>
      <c r="AZ15" s="56" t="s">
        <v>380</v>
      </c>
      <c r="BA15" s="59">
        <v>8033750538</v>
      </c>
      <c r="BB15" s="66" t="s">
        <v>347</v>
      </c>
      <c r="BC15" s="56">
        <v>3</v>
      </c>
      <c r="BD15" s="88"/>
      <c r="BE15" s="53"/>
      <c r="BF15" s="55"/>
    </row>
    <row r="16" spans="1:58" s="54" customFormat="1" ht="24" customHeight="1" x14ac:dyDescent="0.45">
      <c r="A16" s="72">
        <v>12</v>
      </c>
      <c r="B16" s="57" t="s">
        <v>363</v>
      </c>
      <c r="C16" s="57"/>
      <c r="D16" s="57"/>
      <c r="E16" s="57"/>
      <c r="F16" s="57"/>
      <c r="G16" s="57"/>
      <c r="H16" s="57"/>
      <c r="I16" s="57"/>
      <c r="J16" s="57"/>
      <c r="K16" s="57"/>
      <c r="L16" s="57"/>
      <c r="M16" s="56" t="str">
        <f>IF(M$4="日","昼",IF(M$4="月","お",""))</f>
        <v/>
      </c>
      <c r="N16" s="56" t="str">
        <f t="shared" ref="N16:AQ16" si="15">IF(N$4="日","昼",IF(N$4="月","お",""))</f>
        <v/>
      </c>
      <c r="O16" s="58" t="str">
        <f t="shared" si="15"/>
        <v/>
      </c>
      <c r="P16" s="56" t="str">
        <f t="shared" si="15"/>
        <v/>
      </c>
      <c r="Q16" s="58" t="s">
        <v>318</v>
      </c>
      <c r="R16" s="56" t="s">
        <v>320</v>
      </c>
      <c r="S16" s="56" t="str">
        <f t="shared" si="15"/>
        <v/>
      </c>
      <c r="T16" s="56" t="str">
        <f t="shared" si="15"/>
        <v/>
      </c>
      <c r="U16" s="56" t="str">
        <f t="shared" si="15"/>
        <v/>
      </c>
      <c r="V16" s="58" t="str">
        <f t="shared" si="15"/>
        <v/>
      </c>
      <c r="W16" s="56" t="str">
        <f t="shared" si="15"/>
        <v/>
      </c>
      <c r="X16" s="58" t="str">
        <f t="shared" si="15"/>
        <v>昼</v>
      </c>
      <c r="Y16" s="56" t="str">
        <f t="shared" si="15"/>
        <v>お</v>
      </c>
      <c r="Z16" s="56" t="str">
        <f t="shared" si="15"/>
        <v/>
      </c>
      <c r="AA16" s="56" t="str">
        <f t="shared" si="15"/>
        <v/>
      </c>
      <c r="AB16" s="56" t="str">
        <f t="shared" si="15"/>
        <v/>
      </c>
      <c r="AC16" s="58" t="str">
        <f t="shared" si="15"/>
        <v/>
      </c>
      <c r="AD16" s="56" t="str">
        <f t="shared" si="15"/>
        <v/>
      </c>
      <c r="AE16" s="58" t="str">
        <f t="shared" si="15"/>
        <v>昼</v>
      </c>
      <c r="AF16" s="56" t="str">
        <f t="shared" si="15"/>
        <v>お</v>
      </c>
      <c r="AG16" s="56" t="str">
        <f t="shared" si="15"/>
        <v/>
      </c>
      <c r="AH16" s="56" t="str">
        <f t="shared" si="15"/>
        <v/>
      </c>
      <c r="AI16" s="56" t="str">
        <f t="shared" si="15"/>
        <v/>
      </c>
      <c r="AJ16" s="58" t="str">
        <f t="shared" si="15"/>
        <v/>
      </c>
      <c r="AK16" s="56" t="str">
        <f t="shared" si="15"/>
        <v/>
      </c>
      <c r="AL16" s="58" t="str">
        <f t="shared" si="15"/>
        <v>昼</v>
      </c>
      <c r="AM16" s="56" t="str">
        <f t="shared" si="15"/>
        <v>お</v>
      </c>
      <c r="AN16" s="56" t="str">
        <f t="shared" si="15"/>
        <v/>
      </c>
      <c r="AO16" s="56" t="str">
        <f t="shared" si="15"/>
        <v/>
      </c>
      <c r="AP16" s="56" t="str">
        <f t="shared" si="15"/>
        <v/>
      </c>
      <c r="AQ16" s="58" t="str">
        <f t="shared" si="15"/>
        <v/>
      </c>
      <c r="AR16" s="56">
        <f t="shared" si="3"/>
        <v>4</v>
      </c>
      <c r="AS16" s="56" t="str">
        <f t="shared" si="4"/>
        <v/>
      </c>
      <c r="AT16" s="56">
        <f t="shared" si="5"/>
        <v>4</v>
      </c>
      <c r="AU16" s="56" t="str">
        <f t="shared" si="6"/>
        <v/>
      </c>
      <c r="AV16" s="56">
        <f t="shared" si="9"/>
        <v>8</v>
      </c>
      <c r="AW16" s="56" t="s">
        <v>323</v>
      </c>
      <c r="AX16" s="59" t="s">
        <v>364</v>
      </c>
      <c r="AY16" s="59">
        <v>9082937045</v>
      </c>
      <c r="AZ16" s="56" t="s">
        <v>336</v>
      </c>
      <c r="BA16" s="59">
        <v>8039162381</v>
      </c>
      <c r="BB16" s="118" t="s">
        <v>326</v>
      </c>
      <c r="BC16" s="56">
        <v>3</v>
      </c>
      <c r="BD16" s="88"/>
      <c r="BE16" s="61" t="s">
        <v>365</v>
      </c>
      <c r="BF16" s="55" t="s">
        <v>366</v>
      </c>
    </row>
    <row r="17" spans="1:58" s="54" customFormat="1" ht="24" customHeight="1" x14ac:dyDescent="0.45">
      <c r="A17" s="72">
        <v>13</v>
      </c>
      <c r="B17" s="57" t="s">
        <v>367</v>
      </c>
      <c r="C17" s="57"/>
      <c r="D17" s="57"/>
      <c r="E17" s="57"/>
      <c r="F17" s="57"/>
      <c r="G17" s="57"/>
      <c r="H17" s="57"/>
      <c r="I17" s="57"/>
      <c r="J17" s="57"/>
      <c r="K17" s="57"/>
      <c r="L17" s="57"/>
      <c r="M17" s="56"/>
      <c r="N17" s="56"/>
      <c r="O17" s="56"/>
      <c r="P17" s="56"/>
      <c r="Q17" s="56"/>
      <c r="R17" s="56"/>
      <c r="S17" s="56"/>
      <c r="T17" s="56"/>
      <c r="U17" s="56"/>
      <c r="V17" s="56"/>
      <c r="W17" s="56"/>
      <c r="X17" s="56"/>
      <c r="Y17" s="56"/>
      <c r="Z17" s="56"/>
      <c r="AA17" s="56"/>
      <c r="AB17" s="56"/>
      <c r="AC17" s="56"/>
      <c r="AD17" s="58"/>
      <c r="AE17" s="56"/>
      <c r="AF17" s="56"/>
      <c r="AG17" s="56"/>
      <c r="AH17" s="56"/>
      <c r="AI17" s="56"/>
      <c r="AJ17" s="56" t="s">
        <v>318</v>
      </c>
      <c r="AK17" s="56" t="s">
        <v>319</v>
      </c>
      <c r="AL17" s="56" t="s">
        <v>319</v>
      </c>
      <c r="AM17" s="56" t="s">
        <v>320</v>
      </c>
      <c r="AN17" s="56"/>
      <c r="AO17" s="56"/>
      <c r="AP17" s="56"/>
      <c r="AQ17" s="56"/>
      <c r="AR17" s="56">
        <f t="shared" si="3"/>
        <v>1</v>
      </c>
      <c r="AS17" s="56">
        <f t="shared" si="4"/>
        <v>2</v>
      </c>
      <c r="AT17" s="56">
        <f t="shared" si="5"/>
        <v>1</v>
      </c>
      <c r="AU17" s="56" t="str">
        <f t="shared" si="6"/>
        <v/>
      </c>
      <c r="AV17" s="56">
        <f t="shared" si="9"/>
        <v>4</v>
      </c>
      <c r="AW17" s="56" t="s">
        <v>330</v>
      </c>
      <c r="AX17" s="56" t="s">
        <v>368</v>
      </c>
      <c r="AY17" s="59">
        <v>98037966964</v>
      </c>
      <c r="AZ17" s="56" t="s">
        <v>369</v>
      </c>
      <c r="BA17" s="59">
        <v>8064920886</v>
      </c>
      <c r="BB17" s="66" t="s">
        <v>347</v>
      </c>
      <c r="BC17" s="56">
        <v>2</v>
      </c>
      <c r="BD17" s="88"/>
      <c r="BE17" s="61"/>
      <c r="BF17" s="55"/>
    </row>
    <row r="18" spans="1:58" s="54" customFormat="1" ht="24" customHeight="1" x14ac:dyDescent="0.45">
      <c r="A18" s="72">
        <v>14</v>
      </c>
      <c r="B18" s="57" t="s">
        <v>370</v>
      </c>
      <c r="C18" s="57"/>
      <c r="D18" s="57"/>
      <c r="E18" s="57"/>
      <c r="F18" s="57"/>
      <c r="G18" s="57"/>
      <c r="H18" s="57"/>
      <c r="I18" s="57"/>
      <c r="J18" s="57"/>
      <c r="K18" s="57"/>
      <c r="L18" s="57"/>
      <c r="M18" s="56"/>
      <c r="N18" s="56"/>
      <c r="O18" s="56" t="s">
        <v>352</v>
      </c>
      <c r="P18" s="56" t="s">
        <v>319</v>
      </c>
      <c r="Q18" s="58" t="s">
        <v>320</v>
      </c>
      <c r="R18" s="56"/>
      <c r="S18" s="56"/>
      <c r="T18" s="56"/>
      <c r="U18" s="56"/>
      <c r="V18" s="56"/>
      <c r="W18" s="56"/>
      <c r="X18" s="56"/>
      <c r="Y18" s="56"/>
      <c r="Z18" s="56"/>
      <c r="AA18" s="56"/>
      <c r="AB18" s="56" t="s">
        <v>352</v>
      </c>
      <c r="AC18" s="56" t="s">
        <v>319</v>
      </c>
      <c r="AD18" s="76" t="s">
        <v>319</v>
      </c>
      <c r="AE18" s="56" t="s">
        <v>319</v>
      </c>
      <c r="AF18" s="56" t="s">
        <v>320</v>
      </c>
      <c r="AG18" s="56"/>
      <c r="AH18" s="56"/>
      <c r="AI18" s="58"/>
      <c r="AJ18" s="56"/>
      <c r="AK18" s="56"/>
      <c r="AL18" s="56"/>
      <c r="AM18" s="56"/>
      <c r="AN18" s="56"/>
      <c r="AO18" s="56"/>
      <c r="AP18" s="56"/>
      <c r="AQ18" s="57" t="s">
        <v>318</v>
      </c>
      <c r="AR18" s="56">
        <f t="shared" si="3"/>
        <v>3</v>
      </c>
      <c r="AS18" s="56">
        <f t="shared" si="4"/>
        <v>4</v>
      </c>
      <c r="AT18" s="56">
        <f t="shared" si="5"/>
        <v>2</v>
      </c>
      <c r="AU18" s="56" t="str">
        <f t="shared" si="6"/>
        <v/>
      </c>
      <c r="AV18" s="56">
        <f t="shared" si="9"/>
        <v>9</v>
      </c>
      <c r="AW18" s="56" t="s">
        <v>330</v>
      </c>
      <c r="AX18" s="56" t="s">
        <v>371</v>
      </c>
      <c r="AY18" s="59">
        <v>9082930790</v>
      </c>
      <c r="AZ18" s="56" t="s">
        <v>372</v>
      </c>
      <c r="BA18" s="59">
        <v>7083029211</v>
      </c>
      <c r="BB18" s="66" t="s">
        <v>337</v>
      </c>
      <c r="BC18" s="56">
        <v>3</v>
      </c>
      <c r="BD18" s="88"/>
      <c r="BE18" s="61"/>
      <c r="BF18" s="55"/>
    </row>
    <row r="19" spans="1:58" s="54" customFormat="1" ht="24" customHeight="1" x14ac:dyDescent="0.45">
      <c r="A19" s="72">
        <v>15</v>
      </c>
      <c r="B19" s="57" t="s">
        <v>361</v>
      </c>
      <c r="C19" s="57"/>
      <c r="D19" s="57"/>
      <c r="E19" s="57"/>
      <c r="F19" s="57"/>
      <c r="G19" s="57"/>
      <c r="H19" s="57"/>
      <c r="I19" s="57"/>
      <c r="J19" s="57"/>
      <c r="K19" s="57"/>
      <c r="L19" s="57"/>
      <c r="M19" s="56" t="s">
        <v>319</v>
      </c>
      <c r="N19" s="56" t="s">
        <v>319</v>
      </c>
      <c r="O19" s="76" t="s">
        <v>319</v>
      </c>
      <c r="P19" s="56" t="s">
        <v>319</v>
      </c>
      <c r="Q19" s="56" t="s">
        <v>319</v>
      </c>
      <c r="R19" s="56" t="s">
        <v>319</v>
      </c>
      <c r="S19" s="76" t="s">
        <v>319</v>
      </c>
      <c r="T19" s="56" t="s">
        <v>319</v>
      </c>
      <c r="U19" s="56" t="s">
        <v>319</v>
      </c>
      <c r="V19" s="76" t="s">
        <v>319</v>
      </c>
      <c r="W19" s="56" t="s">
        <v>319</v>
      </c>
      <c r="X19" s="56" t="s">
        <v>319</v>
      </c>
      <c r="Y19" s="56" t="s">
        <v>319</v>
      </c>
      <c r="Z19" s="76" t="s">
        <v>319</v>
      </c>
      <c r="AA19" s="56" t="s">
        <v>319</v>
      </c>
      <c r="AB19" s="56" t="s">
        <v>319</v>
      </c>
      <c r="AC19" s="76" t="s">
        <v>319</v>
      </c>
      <c r="AD19" s="56" t="s">
        <v>319</v>
      </c>
      <c r="AE19" s="56" t="s">
        <v>319</v>
      </c>
      <c r="AF19" s="56" t="s">
        <v>319</v>
      </c>
      <c r="AG19" s="76" t="s">
        <v>319</v>
      </c>
      <c r="AH19" s="56" t="s">
        <v>319</v>
      </c>
      <c r="AI19" s="56" t="s">
        <v>319</v>
      </c>
      <c r="AJ19" s="76" t="s">
        <v>319</v>
      </c>
      <c r="AK19" s="56" t="s">
        <v>319</v>
      </c>
      <c r="AL19" s="56" t="s">
        <v>319</v>
      </c>
      <c r="AM19" s="56" t="s">
        <v>319</v>
      </c>
      <c r="AN19" s="76" t="s">
        <v>319</v>
      </c>
      <c r="AO19" s="56" t="s">
        <v>319</v>
      </c>
      <c r="AP19" s="56" t="s">
        <v>319</v>
      </c>
      <c r="AQ19" s="76" t="s">
        <v>319</v>
      </c>
      <c r="AR19" s="56" t="str">
        <f t="shared" si="3"/>
        <v/>
      </c>
      <c r="AS19" s="56">
        <f t="shared" si="4"/>
        <v>31</v>
      </c>
      <c r="AT19" s="56" t="str">
        <f t="shared" si="5"/>
        <v/>
      </c>
      <c r="AU19" s="56" t="str">
        <f t="shared" si="6"/>
        <v/>
      </c>
      <c r="AV19" s="56">
        <f t="shared" si="9"/>
        <v>31</v>
      </c>
      <c r="AW19" s="56" t="s">
        <v>323</v>
      </c>
      <c r="AX19" s="56" t="s">
        <v>362</v>
      </c>
      <c r="AY19" s="59">
        <v>9075855328</v>
      </c>
      <c r="AZ19" s="56" t="s">
        <v>336</v>
      </c>
      <c r="BA19" s="59">
        <v>8039162381</v>
      </c>
      <c r="BB19" s="66" t="s">
        <v>337</v>
      </c>
      <c r="BC19" s="56">
        <v>1</v>
      </c>
      <c r="BD19" s="88"/>
      <c r="BE19" s="61"/>
      <c r="BF19" s="55"/>
    </row>
    <row r="20" spans="1:58" s="54" customFormat="1" ht="24" customHeight="1" x14ac:dyDescent="0.45">
      <c r="A20" s="72">
        <v>16</v>
      </c>
      <c r="B20" s="57" t="s">
        <v>373</v>
      </c>
      <c r="C20" s="57"/>
      <c r="D20" s="57"/>
      <c r="E20" s="57"/>
      <c r="F20" s="57"/>
      <c r="G20" s="57"/>
      <c r="H20" s="57"/>
      <c r="I20" s="57"/>
      <c r="J20" s="57"/>
      <c r="K20" s="57"/>
      <c r="L20" s="57"/>
      <c r="M20" s="56"/>
      <c r="N20" s="56"/>
      <c r="O20" s="56"/>
      <c r="P20" s="56"/>
      <c r="Q20" s="56" t="s">
        <v>318</v>
      </c>
      <c r="R20" s="56" t="s">
        <v>320</v>
      </c>
      <c r="S20" s="56"/>
      <c r="T20" s="56"/>
      <c r="U20" s="56"/>
      <c r="V20" s="56"/>
      <c r="W20" s="56"/>
      <c r="X20" s="56"/>
      <c r="Y20" s="56"/>
      <c r="Z20" s="56"/>
      <c r="AA20" s="58"/>
      <c r="AB20" s="72"/>
      <c r="AC20" s="56"/>
      <c r="AD20" s="56"/>
      <c r="AE20" s="58"/>
      <c r="AF20" s="56"/>
      <c r="AG20" s="56"/>
      <c r="AH20" s="56"/>
      <c r="AI20" s="57"/>
      <c r="AJ20" s="56"/>
      <c r="AK20" s="56"/>
      <c r="AL20" s="56"/>
      <c r="AM20" s="56"/>
      <c r="AN20" s="56"/>
      <c r="AO20" s="56"/>
      <c r="AP20" s="56"/>
      <c r="AQ20" s="56"/>
      <c r="AR20" s="56">
        <f t="shared" si="3"/>
        <v>1</v>
      </c>
      <c r="AS20" s="56" t="str">
        <f t="shared" si="4"/>
        <v/>
      </c>
      <c r="AT20" s="56">
        <f t="shared" si="5"/>
        <v>1</v>
      </c>
      <c r="AU20" s="56" t="str">
        <f t="shared" si="6"/>
        <v/>
      </c>
      <c r="AV20" s="56">
        <f t="shared" si="9"/>
        <v>2</v>
      </c>
      <c r="AW20" s="56" t="s">
        <v>323</v>
      </c>
      <c r="AX20" s="56" t="s">
        <v>374</v>
      </c>
      <c r="AY20" s="59">
        <v>8064937799</v>
      </c>
      <c r="AZ20" s="56" t="s">
        <v>375</v>
      </c>
      <c r="BA20" s="59">
        <v>8075301442</v>
      </c>
      <c r="BB20" s="66" t="s">
        <v>539</v>
      </c>
      <c r="BC20" s="56">
        <v>3</v>
      </c>
      <c r="BD20" s="88"/>
      <c r="BE20" s="61"/>
      <c r="BF20" s="55"/>
    </row>
    <row r="21" spans="1:58" s="54" customFormat="1" ht="24" customHeight="1" x14ac:dyDescent="0.45">
      <c r="A21" s="72">
        <v>17</v>
      </c>
      <c r="B21" s="57" t="s">
        <v>535</v>
      </c>
      <c r="C21" s="57"/>
      <c r="D21" s="57"/>
      <c r="E21" s="57"/>
      <c r="F21" s="57"/>
      <c r="G21" s="57"/>
      <c r="H21" s="57"/>
      <c r="I21" s="57"/>
      <c r="J21" s="57"/>
      <c r="K21" s="57"/>
      <c r="L21" s="57"/>
      <c r="M21" s="56"/>
      <c r="N21" s="56"/>
      <c r="O21" s="56"/>
      <c r="P21" s="56"/>
      <c r="Q21" s="56"/>
      <c r="R21" s="56"/>
      <c r="S21" s="56"/>
      <c r="T21" s="56"/>
      <c r="U21" s="56"/>
      <c r="V21" s="56"/>
      <c r="W21" s="56"/>
      <c r="X21" s="56"/>
      <c r="Y21" s="56" t="s">
        <v>318</v>
      </c>
      <c r="Z21" s="56" t="s">
        <v>319</v>
      </c>
      <c r="AA21" s="56" t="s">
        <v>319</v>
      </c>
      <c r="AB21" s="76" t="s">
        <v>319</v>
      </c>
      <c r="AC21" s="56" t="s">
        <v>319</v>
      </c>
      <c r="AD21" s="76" t="s">
        <v>319</v>
      </c>
      <c r="AE21" s="56" t="s">
        <v>319</v>
      </c>
      <c r="AF21" s="56" t="s">
        <v>319</v>
      </c>
      <c r="AG21" s="56" t="s">
        <v>319</v>
      </c>
      <c r="AH21" s="76" t="s">
        <v>319</v>
      </c>
      <c r="AI21" s="56" t="s">
        <v>319</v>
      </c>
      <c r="AJ21" s="56" t="s">
        <v>319</v>
      </c>
      <c r="AK21" s="76" t="s">
        <v>319</v>
      </c>
      <c r="AL21" s="56" t="s">
        <v>319</v>
      </c>
      <c r="AM21" s="56" t="s">
        <v>319</v>
      </c>
      <c r="AN21" s="56" t="s">
        <v>319</v>
      </c>
      <c r="AO21" s="76" t="s">
        <v>319</v>
      </c>
      <c r="AP21" s="56" t="s">
        <v>319</v>
      </c>
      <c r="AQ21" s="56" t="s">
        <v>319</v>
      </c>
      <c r="AR21" s="56">
        <f t="shared" si="3"/>
        <v>1</v>
      </c>
      <c r="AS21" s="56">
        <f t="shared" si="4"/>
        <v>18</v>
      </c>
      <c r="AT21" s="56" t="str">
        <f t="shared" si="5"/>
        <v/>
      </c>
      <c r="AU21" s="56" t="str">
        <f t="shared" si="6"/>
        <v/>
      </c>
      <c r="AV21" s="56">
        <f t="shared" si="9"/>
        <v>19</v>
      </c>
      <c r="AW21" s="56" t="s">
        <v>323</v>
      </c>
      <c r="AX21" s="56" t="s">
        <v>362</v>
      </c>
      <c r="AY21" s="59">
        <v>9075855328</v>
      </c>
      <c r="AZ21" s="56" t="s">
        <v>336</v>
      </c>
      <c r="BA21" s="59">
        <v>8039162381</v>
      </c>
      <c r="BB21" s="66" t="s">
        <v>337</v>
      </c>
      <c r="BC21" s="56">
        <v>1</v>
      </c>
      <c r="BD21" s="88"/>
      <c r="BE21" s="61"/>
      <c r="BF21" s="55"/>
    </row>
    <row r="22" spans="1:58" s="54" customFormat="1" ht="24" customHeight="1" x14ac:dyDescent="0.45">
      <c r="A22" s="72">
        <v>18</v>
      </c>
      <c r="B22" s="57" t="s">
        <v>381</v>
      </c>
      <c r="C22" s="57"/>
      <c r="D22" s="57"/>
      <c r="E22" s="57"/>
      <c r="F22" s="57"/>
      <c r="G22" s="57"/>
      <c r="H22" s="57"/>
      <c r="I22" s="57"/>
      <c r="J22" s="57"/>
      <c r="K22" s="57"/>
      <c r="L22" s="57"/>
      <c r="M22" s="56" t="str">
        <f>IF(M$4="火","昼",IF(M$4="水","お",""))</f>
        <v>お</v>
      </c>
      <c r="N22" s="56" t="str">
        <f t="shared" ref="N22:AQ22" si="16">IF(N$4="火","昼",IF(N$4="水","お",""))</f>
        <v/>
      </c>
      <c r="O22" s="56" t="str">
        <f t="shared" si="16"/>
        <v/>
      </c>
      <c r="P22" s="56" t="str">
        <f t="shared" si="16"/>
        <v/>
      </c>
      <c r="Q22" s="56" t="str">
        <f t="shared" si="16"/>
        <v/>
      </c>
      <c r="R22" s="56" t="str">
        <f t="shared" si="16"/>
        <v/>
      </c>
      <c r="S22" s="56" t="str">
        <f t="shared" si="16"/>
        <v>昼</v>
      </c>
      <c r="T22" s="56" t="str">
        <f t="shared" si="16"/>
        <v>お</v>
      </c>
      <c r="U22" s="56" t="str">
        <f t="shared" si="16"/>
        <v/>
      </c>
      <c r="V22" s="56" t="str">
        <f t="shared" si="16"/>
        <v/>
      </c>
      <c r="W22" s="56" t="str">
        <f t="shared" si="16"/>
        <v/>
      </c>
      <c r="X22" s="56" t="str">
        <f t="shared" si="16"/>
        <v/>
      </c>
      <c r="Y22" s="56" t="str">
        <f t="shared" si="16"/>
        <v/>
      </c>
      <c r="Z22" s="56" t="str">
        <f t="shared" si="16"/>
        <v>昼</v>
      </c>
      <c r="AA22" s="56" t="str">
        <f t="shared" si="16"/>
        <v>お</v>
      </c>
      <c r="AB22" s="56" t="str">
        <f t="shared" si="16"/>
        <v/>
      </c>
      <c r="AC22" s="56" t="str">
        <f t="shared" si="16"/>
        <v/>
      </c>
      <c r="AD22" s="56" t="str">
        <f t="shared" si="16"/>
        <v/>
      </c>
      <c r="AE22" s="56" t="str">
        <f t="shared" si="16"/>
        <v/>
      </c>
      <c r="AF22" s="56" t="str">
        <f t="shared" si="16"/>
        <v/>
      </c>
      <c r="AG22" s="56" t="str">
        <f t="shared" si="16"/>
        <v>昼</v>
      </c>
      <c r="AH22" s="56" t="str">
        <f t="shared" si="16"/>
        <v>お</v>
      </c>
      <c r="AI22" s="56" t="str">
        <f t="shared" si="16"/>
        <v/>
      </c>
      <c r="AJ22" s="56" t="str">
        <f t="shared" si="16"/>
        <v/>
      </c>
      <c r="AK22" s="56" t="str">
        <f t="shared" si="16"/>
        <v/>
      </c>
      <c r="AL22" s="56" t="str">
        <f t="shared" si="16"/>
        <v/>
      </c>
      <c r="AM22" s="56" t="str">
        <f t="shared" si="16"/>
        <v/>
      </c>
      <c r="AN22" s="56" t="str">
        <f t="shared" si="16"/>
        <v>昼</v>
      </c>
      <c r="AO22" s="56" t="str">
        <f t="shared" si="16"/>
        <v>お</v>
      </c>
      <c r="AP22" s="56" t="str">
        <f t="shared" si="16"/>
        <v/>
      </c>
      <c r="AQ22" s="56" t="str">
        <f t="shared" si="16"/>
        <v/>
      </c>
      <c r="AR22" s="56">
        <f t="shared" si="3"/>
        <v>4</v>
      </c>
      <c r="AS22" s="56" t="str">
        <f t="shared" si="4"/>
        <v/>
      </c>
      <c r="AT22" s="56">
        <f t="shared" si="5"/>
        <v>5</v>
      </c>
      <c r="AU22" s="56" t="str">
        <f t="shared" si="6"/>
        <v/>
      </c>
      <c r="AV22" s="56">
        <f t="shared" si="9"/>
        <v>9</v>
      </c>
      <c r="AW22" s="56" t="s">
        <v>542</v>
      </c>
      <c r="AX22" s="56" t="s">
        <v>382</v>
      </c>
      <c r="AY22" s="59">
        <v>8017623199</v>
      </c>
      <c r="AZ22" s="56" t="s">
        <v>383</v>
      </c>
      <c r="BA22" s="59">
        <v>9014956645</v>
      </c>
      <c r="BB22" s="66" t="s">
        <v>326</v>
      </c>
      <c r="BC22" s="56">
        <v>3</v>
      </c>
      <c r="BD22" s="88"/>
      <c r="BE22" s="61"/>
      <c r="BF22" s="55"/>
    </row>
    <row r="23" spans="1:58" s="54" customFormat="1" ht="24" customHeight="1" x14ac:dyDescent="0.45">
      <c r="A23" s="72">
        <v>19</v>
      </c>
      <c r="B23" s="57" t="s">
        <v>537</v>
      </c>
      <c r="C23" s="57"/>
      <c r="D23" s="57"/>
      <c r="E23" s="57"/>
      <c r="F23" s="57"/>
      <c r="G23" s="57"/>
      <c r="H23" s="57"/>
      <c r="I23" s="57"/>
      <c r="J23" s="57"/>
      <c r="K23" s="57"/>
      <c r="L23" s="57"/>
      <c r="M23" s="56"/>
      <c r="N23" s="56"/>
      <c r="O23" s="56"/>
      <c r="P23" s="56" t="str">
        <f t="shared" ref="P23:AQ23" si="17">IF(P$4="水","昼",IF(P$4="木","○",IF(P$4="金","お","")))</f>
        <v/>
      </c>
      <c r="Q23" s="56" t="str">
        <f t="shared" si="17"/>
        <v/>
      </c>
      <c r="R23" s="56" t="str">
        <f t="shared" si="17"/>
        <v/>
      </c>
      <c r="S23" s="56" t="str">
        <f t="shared" si="17"/>
        <v/>
      </c>
      <c r="T23" s="56" t="str">
        <f t="shared" si="17"/>
        <v>昼</v>
      </c>
      <c r="U23" s="56" t="str">
        <f t="shared" si="17"/>
        <v>○</v>
      </c>
      <c r="V23" s="56" t="str">
        <f t="shared" si="17"/>
        <v>お</v>
      </c>
      <c r="W23" s="56" t="str">
        <f t="shared" si="17"/>
        <v/>
      </c>
      <c r="X23" s="56" t="str">
        <f t="shared" si="17"/>
        <v/>
      </c>
      <c r="Y23" s="56" t="str">
        <f t="shared" si="17"/>
        <v/>
      </c>
      <c r="Z23" s="56" t="str">
        <f t="shared" si="17"/>
        <v/>
      </c>
      <c r="AA23" s="56" t="str">
        <f t="shared" si="17"/>
        <v>昼</v>
      </c>
      <c r="AB23" s="56" t="str">
        <f t="shared" si="17"/>
        <v>○</v>
      </c>
      <c r="AC23" s="56" t="str">
        <f t="shared" si="17"/>
        <v>お</v>
      </c>
      <c r="AD23" s="56" t="str">
        <f t="shared" si="17"/>
        <v/>
      </c>
      <c r="AE23" s="56" t="str">
        <f t="shared" si="17"/>
        <v/>
      </c>
      <c r="AF23" s="56" t="str">
        <f t="shared" si="17"/>
        <v/>
      </c>
      <c r="AG23" s="56" t="str">
        <f t="shared" si="17"/>
        <v/>
      </c>
      <c r="AH23" s="56" t="str">
        <f t="shared" si="17"/>
        <v>昼</v>
      </c>
      <c r="AI23" s="56" t="str">
        <f t="shared" si="17"/>
        <v>○</v>
      </c>
      <c r="AJ23" s="56" t="str">
        <f t="shared" si="17"/>
        <v>お</v>
      </c>
      <c r="AK23" s="56" t="str">
        <f t="shared" si="17"/>
        <v/>
      </c>
      <c r="AL23" s="56" t="str">
        <f t="shared" si="17"/>
        <v/>
      </c>
      <c r="AM23" s="56" t="str">
        <f t="shared" si="17"/>
        <v/>
      </c>
      <c r="AN23" s="56" t="str">
        <f t="shared" si="17"/>
        <v/>
      </c>
      <c r="AO23" s="56" t="str">
        <f t="shared" si="17"/>
        <v>昼</v>
      </c>
      <c r="AP23" s="56" t="str">
        <f t="shared" si="17"/>
        <v>○</v>
      </c>
      <c r="AQ23" s="56" t="str">
        <f t="shared" si="17"/>
        <v>お</v>
      </c>
      <c r="AR23" s="56">
        <f t="shared" si="3"/>
        <v>4</v>
      </c>
      <c r="AS23" s="56">
        <f t="shared" si="4"/>
        <v>4</v>
      </c>
      <c r="AT23" s="56">
        <f t="shared" si="5"/>
        <v>4</v>
      </c>
      <c r="AU23" s="56" t="str">
        <f t="shared" si="6"/>
        <v/>
      </c>
      <c r="AV23" s="56">
        <f t="shared" si="9"/>
        <v>12</v>
      </c>
      <c r="AW23" s="56" t="s">
        <v>542</v>
      </c>
      <c r="AX23" s="56" t="s">
        <v>533</v>
      </c>
      <c r="AY23" s="59">
        <v>9073971616</v>
      </c>
      <c r="AZ23" s="56" t="s">
        <v>461</v>
      </c>
      <c r="BA23" s="59">
        <v>8064847234</v>
      </c>
      <c r="BB23" s="66"/>
      <c r="BC23" s="56">
        <v>1</v>
      </c>
      <c r="BD23" s="88"/>
      <c r="BE23" s="61"/>
      <c r="BF23" s="55"/>
    </row>
    <row r="24" spans="1:58" s="54" customFormat="1" ht="24" customHeight="1" x14ac:dyDescent="0.45">
      <c r="A24" s="72">
        <v>20</v>
      </c>
      <c r="B24" s="57" t="s">
        <v>384</v>
      </c>
      <c r="C24" s="57"/>
      <c r="D24" s="57"/>
      <c r="E24" s="57"/>
      <c r="F24" s="57"/>
      <c r="G24" s="57"/>
      <c r="H24" s="57"/>
      <c r="I24" s="57"/>
      <c r="J24" s="57"/>
      <c r="K24" s="57"/>
      <c r="L24" s="57"/>
      <c r="M24" s="56" t="str">
        <f>IF(M$4="木","昼",IF(M$4="金","お",""))</f>
        <v/>
      </c>
      <c r="N24" s="56" t="str">
        <f t="shared" ref="N24:AQ24" si="18">IF(N$4="木","昼",IF(N$4="金","お",""))</f>
        <v>昼</v>
      </c>
      <c r="O24" s="56" t="str">
        <f t="shared" si="18"/>
        <v>お</v>
      </c>
      <c r="P24" s="56" t="str">
        <f t="shared" si="18"/>
        <v/>
      </c>
      <c r="Q24" s="56" t="str">
        <f t="shared" si="18"/>
        <v/>
      </c>
      <c r="R24" s="56" t="str">
        <f t="shared" si="18"/>
        <v/>
      </c>
      <c r="S24" s="56" t="str">
        <f t="shared" si="18"/>
        <v/>
      </c>
      <c r="T24" s="56" t="str">
        <f t="shared" si="18"/>
        <v/>
      </c>
      <c r="U24" s="56"/>
      <c r="V24" s="56"/>
      <c r="W24" s="56" t="str">
        <f t="shared" si="18"/>
        <v/>
      </c>
      <c r="X24" s="56" t="str">
        <f t="shared" si="18"/>
        <v/>
      </c>
      <c r="Y24" s="56" t="str">
        <f t="shared" si="18"/>
        <v/>
      </c>
      <c r="Z24" s="56" t="str">
        <f t="shared" si="18"/>
        <v/>
      </c>
      <c r="AA24" s="56" t="str">
        <f t="shared" si="18"/>
        <v/>
      </c>
      <c r="AB24" s="56" t="str">
        <f t="shared" si="18"/>
        <v>昼</v>
      </c>
      <c r="AC24" s="56" t="str">
        <f t="shared" si="18"/>
        <v>お</v>
      </c>
      <c r="AD24" s="56" t="str">
        <f t="shared" si="18"/>
        <v/>
      </c>
      <c r="AE24" s="56" t="str">
        <f t="shared" si="18"/>
        <v/>
      </c>
      <c r="AF24" s="56" t="str">
        <f t="shared" si="18"/>
        <v/>
      </c>
      <c r="AG24" s="56" t="str">
        <f t="shared" si="18"/>
        <v/>
      </c>
      <c r="AH24" s="56" t="str">
        <f t="shared" si="18"/>
        <v/>
      </c>
      <c r="AI24" s="56"/>
      <c r="AJ24" s="56"/>
      <c r="AK24" s="56" t="str">
        <f t="shared" si="18"/>
        <v/>
      </c>
      <c r="AL24" s="56" t="str">
        <f t="shared" si="18"/>
        <v/>
      </c>
      <c r="AM24" s="56" t="str">
        <f t="shared" si="18"/>
        <v/>
      </c>
      <c r="AN24" s="56" t="str">
        <f t="shared" si="18"/>
        <v/>
      </c>
      <c r="AO24" s="56" t="str">
        <f t="shared" si="18"/>
        <v/>
      </c>
      <c r="AP24" s="56" t="str">
        <f t="shared" si="18"/>
        <v>昼</v>
      </c>
      <c r="AQ24" s="56" t="str">
        <f t="shared" si="18"/>
        <v>お</v>
      </c>
      <c r="AR24" s="56">
        <f t="shared" si="3"/>
        <v>3</v>
      </c>
      <c r="AS24" s="56" t="str">
        <f t="shared" si="4"/>
        <v/>
      </c>
      <c r="AT24" s="56">
        <f t="shared" si="5"/>
        <v>3</v>
      </c>
      <c r="AU24" s="56" t="str">
        <f t="shared" si="6"/>
        <v/>
      </c>
      <c r="AV24" s="56">
        <f t="shared" si="9"/>
        <v>6</v>
      </c>
      <c r="AW24" s="56" t="s">
        <v>323</v>
      </c>
      <c r="AX24" s="56" t="s">
        <v>385</v>
      </c>
      <c r="AY24" s="59">
        <v>9097877632</v>
      </c>
      <c r="AZ24" s="56" t="s">
        <v>386</v>
      </c>
      <c r="BA24" s="59">
        <v>8085695618</v>
      </c>
      <c r="BB24" s="66" t="s">
        <v>326</v>
      </c>
      <c r="BC24" s="56">
        <v>3</v>
      </c>
      <c r="BD24" s="88"/>
      <c r="BE24" s="61"/>
      <c r="BF24" s="55"/>
    </row>
    <row r="25" spans="1:58" s="54" customFormat="1" ht="24" customHeight="1" x14ac:dyDescent="0.45">
      <c r="A25" s="72">
        <v>21</v>
      </c>
      <c r="B25" s="57" t="s">
        <v>536</v>
      </c>
      <c r="C25" s="57"/>
      <c r="D25" s="57"/>
      <c r="E25" s="57"/>
      <c r="F25" s="57"/>
      <c r="G25" s="57"/>
      <c r="H25" s="57"/>
      <c r="I25" s="57"/>
      <c r="J25" s="57"/>
      <c r="K25" s="57"/>
      <c r="L25" s="57"/>
      <c r="M25" s="56" t="s">
        <v>352</v>
      </c>
      <c r="N25" s="56" t="s">
        <v>319</v>
      </c>
      <c r="O25" s="76" t="s">
        <v>319</v>
      </c>
      <c r="P25" s="56" t="s">
        <v>319</v>
      </c>
      <c r="Q25" s="56" t="s">
        <v>319</v>
      </c>
      <c r="R25" s="56" t="s">
        <v>319</v>
      </c>
      <c r="S25" s="56" t="s">
        <v>320</v>
      </c>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f t="shared" si="3"/>
        <v>1</v>
      </c>
      <c r="AS25" s="56">
        <f t="shared" si="4"/>
        <v>5</v>
      </c>
      <c r="AT25" s="56">
        <f t="shared" si="5"/>
        <v>1</v>
      </c>
      <c r="AU25" s="56" t="str">
        <f t="shared" si="6"/>
        <v/>
      </c>
      <c r="AV25" s="56">
        <f t="shared" si="9"/>
        <v>7</v>
      </c>
      <c r="AW25" s="56" t="s">
        <v>542</v>
      </c>
      <c r="AX25" s="56" t="s">
        <v>545</v>
      </c>
      <c r="AY25" s="59">
        <v>9084115916</v>
      </c>
      <c r="AZ25" s="56" t="s">
        <v>546</v>
      </c>
      <c r="BA25" s="59"/>
      <c r="BB25" s="66"/>
      <c r="BC25" s="56">
        <v>2</v>
      </c>
      <c r="BD25" s="88"/>
      <c r="BE25" s="61"/>
      <c r="BF25" s="55"/>
    </row>
    <row r="26" spans="1:58" s="54" customFormat="1" ht="24" customHeight="1" x14ac:dyDescent="0.45">
      <c r="A26" s="72">
        <v>22</v>
      </c>
      <c r="B26" s="57" t="s">
        <v>473</v>
      </c>
      <c r="C26" s="57"/>
      <c r="D26" s="57"/>
      <c r="E26" s="57"/>
      <c r="F26" s="57"/>
      <c r="G26" s="57"/>
      <c r="H26" s="57"/>
      <c r="I26" s="57"/>
      <c r="J26" s="57"/>
      <c r="K26" s="57"/>
      <c r="L26" s="57"/>
      <c r="M26" s="56" t="s">
        <v>352</v>
      </c>
      <c r="N26" s="56" t="s">
        <v>319</v>
      </c>
      <c r="O26" s="56" t="s">
        <v>320</v>
      </c>
      <c r="P26" s="56"/>
      <c r="Q26" s="56"/>
      <c r="R26" s="56"/>
      <c r="S26" s="56"/>
      <c r="T26" s="56"/>
      <c r="U26" s="56"/>
      <c r="V26" s="64"/>
      <c r="W26" s="64"/>
      <c r="X26" s="64"/>
      <c r="Y26" s="56"/>
      <c r="Z26" s="56"/>
      <c r="AA26" s="58"/>
      <c r="AB26" s="72"/>
      <c r="AC26" s="56"/>
      <c r="AD26" s="56"/>
      <c r="AE26" s="56"/>
      <c r="AF26" s="56"/>
      <c r="AG26" s="56"/>
      <c r="AH26" s="56"/>
      <c r="AI26" s="57"/>
      <c r="AJ26" s="56"/>
      <c r="AK26" s="56"/>
      <c r="AL26" s="56"/>
      <c r="AM26" s="56"/>
      <c r="AN26" s="56" t="s">
        <v>318</v>
      </c>
      <c r="AO26" s="56" t="s">
        <v>319</v>
      </c>
      <c r="AP26" s="57" t="s">
        <v>320</v>
      </c>
      <c r="AQ26" s="56"/>
      <c r="AR26" s="56">
        <f t="shared" si="3"/>
        <v>2</v>
      </c>
      <c r="AS26" s="56">
        <f t="shared" si="4"/>
        <v>2</v>
      </c>
      <c r="AT26" s="56">
        <f t="shared" si="5"/>
        <v>2</v>
      </c>
      <c r="AU26" s="56" t="str">
        <f t="shared" si="6"/>
        <v/>
      </c>
      <c r="AV26" s="56">
        <f t="shared" si="9"/>
        <v>6</v>
      </c>
      <c r="AW26" s="56" t="s">
        <v>323</v>
      </c>
      <c r="AX26" s="56" t="s">
        <v>474</v>
      </c>
      <c r="AY26" s="59">
        <v>9068577835</v>
      </c>
      <c r="AZ26" s="56" t="s">
        <v>475</v>
      </c>
      <c r="BA26" s="59">
        <v>9016132846</v>
      </c>
      <c r="BB26" s="66" t="s">
        <v>326</v>
      </c>
      <c r="BC26" s="56">
        <v>2</v>
      </c>
      <c r="BD26" s="88"/>
      <c r="BE26" s="61"/>
      <c r="BF26" s="55"/>
    </row>
    <row r="27" spans="1:58" s="54" customFormat="1" ht="24" customHeight="1" x14ac:dyDescent="0.45">
      <c r="A27" s="72">
        <v>23</v>
      </c>
      <c r="B27" s="57"/>
      <c r="C27" s="57"/>
      <c r="D27" s="57"/>
      <c r="E27" s="57"/>
      <c r="F27" s="57"/>
      <c r="G27" s="57"/>
      <c r="H27" s="57"/>
      <c r="I27" s="57"/>
      <c r="J27" s="57"/>
      <c r="K27" s="57"/>
      <c r="L27" s="57"/>
      <c r="M27" s="56"/>
      <c r="N27" s="56"/>
      <c r="O27" s="56"/>
      <c r="P27" s="56"/>
      <c r="Q27" s="56"/>
      <c r="R27" s="56"/>
      <c r="S27" s="56"/>
      <c r="T27" s="56"/>
      <c r="U27" s="56"/>
      <c r="V27" s="64"/>
      <c r="W27" s="64"/>
      <c r="X27" s="64"/>
      <c r="Y27" s="56"/>
      <c r="Z27" s="56"/>
      <c r="AA27" s="58"/>
      <c r="AB27" s="72"/>
      <c r="AC27" s="56"/>
      <c r="AD27" s="56"/>
      <c r="AE27" s="56"/>
      <c r="AF27" s="56"/>
      <c r="AG27" s="56"/>
      <c r="AH27" s="56"/>
      <c r="AI27" s="57"/>
      <c r="AJ27" s="56"/>
      <c r="AK27" s="56"/>
      <c r="AL27" s="56"/>
      <c r="AM27" s="56"/>
      <c r="AN27" s="56"/>
      <c r="AO27" s="56"/>
      <c r="AP27" s="57"/>
      <c r="AQ27" s="56"/>
      <c r="AR27" s="56"/>
      <c r="AS27" s="56"/>
      <c r="AT27" s="56"/>
      <c r="AU27" s="56"/>
      <c r="AV27" s="56"/>
      <c r="AW27" s="56"/>
      <c r="AX27" s="56"/>
      <c r="AY27" s="59"/>
      <c r="AZ27" s="56"/>
      <c r="BA27" s="59"/>
      <c r="BB27" s="66"/>
      <c r="BC27" s="56"/>
      <c r="BD27" s="88"/>
      <c r="BE27" s="61"/>
      <c r="BF27" s="55"/>
    </row>
    <row r="28" spans="1:58" s="54" customFormat="1" ht="24" customHeight="1" x14ac:dyDescent="0.45">
      <c r="A28" s="72">
        <v>24</v>
      </c>
      <c r="B28" s="57"/>
      <c r="C28" s="57"/>
      <c r="D28" s="57"/>
      <c r="E28" s="57"/>
      <c r="F28" s="57"/>
      <c r="G28" s="57"/>
      <c r="H28" s="57"/>
      <c r="I28" s="57"/>
      <c r="J28" s="57"/>
      <c r="K28" s="57"/>
      <c r="L28" s="57"/>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t="str">
        <f t="shared" si="3"/>
        <v/>
      </c>
      <c r="AS28" s="56" t="str">
        <f t="shared" si="4"/>
        <v/>
      </c>
      <c r="AT28" s="56" t="str">
        <f t="shared" si="5"/>
        <v/>
      </c>
      <c r="AU28" s="56" t="str">
        <f t="shared" si="6"/>
        <v/>
      </c>
      <c r="AV28" s="56" t="str">
        <f t="shared" ref="AV28" si="19">IF(COUNTA(M28:AQ28)=0,"",SUM(AR28:AU28))</f>
        <v/>
      </c>
      <c r="AW28" s="56"/>
      <c r="AX28" s="56"/>
      <c r="AY28" s="59"/>
      <c r="AZ28" s="56"/>
      <c r="BA28" s="59"/>
      <c r="BB28" s="66"/>
      <c r="BC28" s="56"/>
      <c r="BD28" s="88"/>
      <c r="BE28" s="61"/>
      <c r="BF28" s="55"/>
    </row>
    <row r="29" spans="1:58" s="54" customFormat="1" ht="24" customHeight="1" x14ac:dyDescent="0.45">
      <c r="A29" s="72"/>
      <c r="B29" s="57" t="s">
        <v>387</v>
      </c>
      <c r="C29" s="57"/>
      <c r="D29" s="57"/>
      <c r="E29" s="57"/>
      <c r="F29" s="57"/>
      <c r="G29" s="57"/>
      <c r="H29" s="57"/>
      <c r="I29" s="57"/>
      <c r="J29" s="57"/>
      <c r="K29" s="57"/>
      <c r="L29" s="57"/>
      <c r="M29" s="56">
        <f t="shared" ref="M29:AU29" si="20">COUNTIF(M5:M28,"朝")+COUNTIF(M5:M28,"昼")+COUNTIF(M5:M28,"夕")+COUNTIF(M5:M28,"お")+COUNTIF(M5:M28,"○")</f>
        <v>9</v>
      </c>
      <c r="N29" s="56">
        <f t="shared" si="20"/>
        <v>9</v>
      </c>
      <c r="O29" s="56">
        <f t="shared" si="20"/>
        <v>9</v>
      </c>
      <c r="P29" s="56">
        <f t="shared" si="20"/>
        <v>10</v>
      </c>
      <c r="Q29" s="56">
        <f t="shared" si="20"/>
        <v>12</v>
      </c>
      <c r="R29" s="56">
        <f t="shared" si="20"/>
        <v>9</v>
      </c>
      <c r="S29" s="56">
        <f t="shared" si="20"/>
        <v>7</v>
      </c>
      <c r="T29" s="56">
        <f t="shared" si="20"/>
        <v>7</v>
      </c>
      <c r="U29" s="56">
        <f t="shared" si="20"/>
        <v>6</v>
      </c>
      <c r="V29" s="56">
        <f t="shared" si="20"/>
        <v>7</v>
      </c>
      <c r="W29" s="56">
        <f t="shared" si="20"/>
        <v>8</v>
      </c>
      <c r="X29" s="56">
        <f t="shared" si="20"/>
        <v>8</v>
      </c>
      <c r="Y29" s="56">
        <f t="shared" si="20"/>
        <v>8</v>
      </c>
      <c r="Z29" s="56">
        <f t="shared" si="20"/>
        <v>7</v>
      </c>
      <c r="AA29" s="56">
        <f t="shared" si="20"/>
        <v>9</v>
      </c>
      <c r="AB29" s="56">
        <f t="shared" si="20"/>
        <v>10</v>
      </c>
      <c r="AC29" s="56">
        <f t="shared" si="20"/>
        <v>8</v>
      </c>
      <c r="AD29" s="56">
        <f t="shared" si="20"/>
        <v>8</v>
      </c>
      <c r="AE29" s="56">
        <f t="shared" si="20"/>
        <v>9</v>
      </c>
      <c r="AF29" s="56">
        <f t="shared" si="20"/>
        <v>10</v>
      </c>
      <c r="AG29" s="56">
        <f t="shared" si="20"/>
        <v>8</v>
      </c>
      <c r="AH29" s="56">
        <f t="shared" si="20"/>
        <v>8</v>
      </c>
      <c r="AI29" s="56">
        <f t="shared" si="20"/>
        <v>8</v>
      </c>
      <c r="AJ29" s="56">
        <f t="shared" si="20"/>
        <v>8</v>
      </c>
      <c r="AK29" s="56">
        <f t="shared" si="20"/>
        <v>9</v>
      </c>
      <c r="AL29" s="56">
        <f t="shared" si="20"/>
        <v>9</v>
      </c>
      <c r="AM29" s="56">
        <f t="shared" si="20"/>
        <v>9</v>
      </c>
      <c r="AN29" s="56">
        <f t="shared" si="20"/>
        <v>8</v>
      </c>
      <c r="AO29" s="56">
        <f t="shared" si="20"/>
        <v>9</v>
      </c>
      <c r="AP29" s="56">
        <f t="shared" si="20"/>
        <v>9</v>
      </c>
      <c r="AQ29" s="56">
        <f t="shared" si="20"/>
        <v>9</v>
      </c>
      <c r="AR29" s="56">
        <f t="shared" si="20"/>
        <v>0</v>
      </c>
      <c r="AS29" s="56">
        <f t="shared" si="20"/>
        <v>0</v>
      </c>
      <c r="AT29" s="56">
        <f t="shared" si="20"/>
        <v>0</v>
      </c>
      <c r="AU29" s="56">
        <f t="shared" si="20"/>
        <v>0</v>
      </c>
      <c r="AV29" s="56">
        <f>SUM(M29:AQ29)</f>
        <v>264</v>
      </c>
      <c r="AW29" s="56"/>
      <c r="AX29" s="63" t="s">
        <v>388</v>
      </c>
      <c r="AY29" s="56" t="s">
        <v>389</v>
      </c>
      <c r="AZ29" s="56"/>
      <c r="BA29" s="56"/>
      <c r="BB29" s="56"/>
      <c r="BC29" s="118" t="s">
        <v>390</v>
      </c>
      <c r="BD29" s="88"/>
      <c r="BE29" s="61"/>
      <c r="BF29" s="55"/>
    </row>
    <row r="30" spans="1:58" s="54" customFormat="1" ht="24" customHeight="1" x14ac:dyDescent="0.45">
      <c r="A30" s="72"/>
      <c r="B30" s="45" t="s">
        <v>391</v>
      </c>
      <c r="C30" s="57"/>
      <c r="D30" s="57"/>
      <c r="E30" s="57"/>
      <c r="F30" s="57"/>
      <c r="G30" s="57"/>
      <c r="H30" s="57"/>
      <c r="I30" s="57"/>
      <c r="J30" s="57"/>
      <c r="K30" s="57"/>
      <c r="L30" s="57"/>
      <c r="M30" s="56">
        <f>8-M29</f>
        <v>-1</v>
      </c>
      <c r="N30" s="56">
        <f t="shared" ref="N30:AQ30" si="21">8-N29</f>
        <v>-1</v>
      </c>
      <c r="O30" s="56">
        <f t="shared" si="21"/>
        <v>-1</v>
      </c>
      <c r="P30" s="56">
        <f t="shared" si="21"/>
        <v>-2</v>
      </c>
      <c r="Q30" s="56">
        <f t="shared" si="21"/>
        <v>-4</v>
      </c>
      <c r="R30" s="56">
        <f t="shared" si="21"/>
        <v>-1</v>
      </c>
      <c r="S30" s="56">
        <f t="shared" si="21"/>
        <v>1</v>
      </c>
      <c r="T30" s="56">
        <f t="shared" si="21"/>
        <v>1</v>
      </c>
      <c r="U30" s="56">
        <f t="shared" si="21"/>
        <v>2</v>
      </c>
      <c r="V30" s="56">
        <f t="shared" si="21"/>
        <v>1</v>
      </c>
      <c r="W30" s="56">
        <f t="shared" si="21"/>
        <v>0</v>
      </c>
      <c r="X30" s="56">
        <f t="shared" si="21"/>
        <v>0</v>
      </c>
      <c r="Y30" s="56">
        <f t="shared" si="21"/>
        <v>0</v>
      </c>
      <c r="Z30" s="56">
        <f t="shared" si="21"/>
        <v>1</v>
      </c>
      <c r="AA30" s="56">
        <f t="shared" si="21"/>
        <v>-1</v>
      </c>
      <c r="AB30" s="56">
        <f t="shared" si="21"/>
        <v>-2</v>
      </c>
      <c r="AC30" s="56">
        <f t="shared" si="21"/>
        <v>0</v>
      </c>
      <c r="AD30" s="56">
        <f t="shared" si="21"/>
        <v>0</v>
      </c>
      <c r="AE30" s="56">
        <f t="shared" si="21"/>
        <v>-1</v>
      </c>
      <c r="AF30" s="56">
        <f t="shared" si="21"/>
        <v>-2</v>
      </c>
      <c r="AG30" s="56">
        <f t="shared" si="21"/>
        <v>0</v>
      </c>
      <c r="AH30" s="56">
        <f t="shared" si="21"/>
        <v>0</v>
      </c>
      <c r="AI30" s="56">
        <f t="shared" si="21"/>
        <v>0</v>
      </c>
      <c r="AJ30" s="56">
        <f t="shared" si="21"/>
        <v>0</v>
      </c>
      <c r="AK30" s="56">
        <f t="shared" si="21"/>
        <v>-1</v>
      </c>
      <c r="AL30" s="56">
        <f t="shared" si="21"/>
        <v>-1</v>
      </c>
      <c r="AM30" s="56">
        <f t="shared" si="21"/>
        <v>-1</v>
      </c>
      <c r="AN30" s="56">
        <f t="shared" si="21"/>
        <v>0</v>
      </c>
      <c r="AO30" s="56">
        <f t="shared" si="21"/>
        <v>-1</v>
      </c>
      <c r="AP30" s="56">
        <f t="shared" si="21"/>
        <v>-1</v>
      </c>
      <c r="AQ30" s="56">
        <f t="shared" si="21"/>
        <v>-1</v>
      </c>
      <c r="AR30" s="56"/>
      <c r="AS30" s="56"/>
      <c r="AT30" s="56"/>
      <c r="AU30" s="56"/>
      <c r="AV30" s="56">
        <f t="shared" ref="AV30:AV33" si="22">SUM(M30:AQ30)</f>
        <v>-16</v>
      </c>
      <c r="AW30" s="56"/>
      <c r="AX30" s="63">
        <f>AVERAGE(M29:AQ29)</f>
        <v>8.5161290322580641</v>
      </c>
      <c r="AY30" s="65">
        <f>8*365/12-AV29</f>
        <v>-20.666666666666657</v>
      </c>
      <c r="AZ30" s="65"/>
      <c r="BA30" s="65"/>
      <c r="BB30" s="56"/>
      <c r="BC30" s="63">
        <f>AVERAGE(BC5:BC29)</f>
        <v>2.4090909090909092</v>
      </c>
      <c r="BD30" s="88"/>
      <c r="BE30" s="61"/>
      <c r="BF30" s="55"/>
    </row>
    <row r="31" spans="1:58" s="54" customFormat="1" ht="24" customHeight="1" x14ac:dyDescent="0.45">
      <c r="A31" s="72"/>
      <c r="B31" s="57" t="s">
        <v>392</v>
      </c>
      <c r="C31" s="57"/>
      <c r="D31" s="57"/>
      <c r="E31" s="57"/>
      <c r="F31" s="57"/>
      <c r="G31" s="57"/>
      <c r="H31" s="57"/>
      <c r="I31" s="57"/>
      <c r="J31" s="57"/>
      <c r="K31" s="57"/>
      <c r="L31" s="57"/>
      <c r="M31" s="56">
        <f t="shared" ref="M31:AQ31" si="23">COUNTIF(M5:M28,"昼")</f>
        <v>2</v>
      </c>
      <c r="N31" s="56">
        <f t="shared" si="23"/>
        <v>1</v>
      </c>
      <c r="O31" s="56">
        <f t="shared" si="23"/>
        <v>2</v>
      </c>
      <c r="P31" s="56">
        <f t="shared" si="23"/>
        <v>3</v>
      </c>
      <c r="Q31" s="56">
        <f t="shared" si="23"/>
        <v>2</v>
      </c>
      <c r="R31" s="56">
        <f t="shared" si="23"/>
        <v>0</v>
      </c>
      <c r="S31" s="56">
        <f t="shared" si="23"/>
        <v>2</v>
      </c>
      <c r="T31" s="56">
        <f t="shared" si="23"/>
        <v>1</v>
      </c>
      <c r="U31" s="56">
        <f t="shared" si="23"/>
        <v>0</v>
      </c>
      <c r="V31" s="56">
        <f t="shared" si="23"/>
        <v>1</v>
      </c>
      <c r="W31" s="56">
        <f t="shared" si="23"/>
        <v>3</v>
      </c>
      <c r="X31" s="56">
        <f t="shared" si="23"/>
        <v>1</v>
      </c>
      <c r="Y31" s="56">
        <f t="shared" si="23"/>
        <v>2</v>
      </c>
      <c r="Z31" s="56">
        <f t="shared" si="23"/>
        <v>2</v>
      </c>
      <c r="AA31" s="56">
        <f t="shared" si="23"/>
        <v>2</v>
      </c>
      <c r="AB31" s="56">
        <f t="shared" si="23"/>
        <v>2</v>
      </c>
      <c r="AC31" s="56">
        <f t="shared" si="23"/>
        <v>1</v>
      </c>
      <c r="AD31" s="56">
        <f t="shared" si="23"/>
        <v>2</v>
      </c>
      <c r="AE31" s="56">
        <f t="shared" si="23"/>
        <v>1</v>
      </c>
      <c r="AF31" s="56">
        <f t="shared" si="23"/>
        <v>2</v>
      </c>
      <c r="AG31" s="56">
        <f t="shared" si="23"/>
        <v>2</v>
      </c>
      <c r="AH31" s="56">
        <f t="shared" si="23"/>
        <v>1</v>
      </c>
      <c r="AI31" s="56">
        <f t="shared" si="23"/>
        <v>1</v>
      </c>
      <c r="AJ31" s="56">
        <f t="shared" si="23"/>
        <v>2</v>
      </c>
      <c r="AK31" s="56">
        <f t="shared" si="23"/>
        <v>3</v>
      </c>
      <c r="AL31" s="56">
        <f t="shared" si="23"/>
        <v>1</v>
      </c>
      <c r="AM31" s="56">
        <f t="shared" si="23"/>
        <v>2</v>
      </c>
      <c r="AN31" s="56">
        <f t="shared" si="23"/>
        <v>3</v>
      </c>
      <c r="AO31" s="56">
        <f t="shared" si="23"/>
        <v>1</v>
      </c>
      <c r="AP31" s="56">
        <f t="shared" si="23"/>
        <v>1</v>
      </c>
      <c r="AQ31" s="56">
        <f t="shared" si="23"/>
        <v>2</v>
      </c>
      <c r="AR31" s="56" t="e">
        <f>COUNTIF(#REF!,"昼")</f>
        <v>#REF!</v>
      </c>
      <c r="AS31" s="56" t="e">
        <f>COUNTIF(#REF!,"昼")</f>
        <v>#REF!</v>
      </c>
      <c r="AT31" s="56" t="e">
        <f>COUNTIF(#REF!,"昼")</f>
        <v>#REF!</v>
      </c>
      <c r="AU31" s="56" t="e">
        <f>COUNTIF(#REF!,"昼")</f>
        <v>#REF!</v>
      </c>
      <c r="AV31" s="56">
        <f t="shared" si="22"/>
        <v>51</v>
      </c>
      <c r="AW31" s="56"/>
      <c r="AX31" s="56"/>
      <c r="AY31" s="56" t="s">
        <v>393</v>
      </c>
      <c r="AZ31" s="56"/>
      <c r="BA31" s="56"/>
      <c r="BB31" s="66"/>
      <c r="BC31" s="66"/>
      <c r="BD31" s="88"/>
      <c r="BE31" s="61"/>
      <c r="BF31" s="55"/>
    </row>
    <row r="32" spans="1:58" s="54" customFormat="1" ht="24" customHeight="1" x14ac:dyDescent="0.45">
      <c r="A32" s="72"/>
      <c r="B32" s="57" t="s">
        <v>394</v>
      </c>
      <c r="C32" s="57"/>
      <c r="D32" s="57"/>
      <c r="E32" s="57"/>
      <c r="F32" s="57"/>
      <c r="G32" s="57"/>
      <c r="H32" s="57"/>
      <c r="I32" s="57"/>
      <c r="J32" s="57"/>
      <c r="K32" s="57"/>
      <c r="L32" s="57"/>
      <c r="M32" s="56">
        <f t="shared" ref="M32:AQ32" si="24">COUNTIF(M5:M29,"お")</f>
        <v>1</v>
      </c>
      <c r="N32" s="56">
        <f t="shared" si="24"/>
        <v>1</v>
      </c>
      <c r="O32" s="56">
        <f t="shared" si="24"/>
        <v>2</v>
      </c>
      <c r="P32" s="56">
        <f t="shared" si="24"/>
        <v>0</v>
      </c>
      <c r="Q32" s="56">
        <f t="shared" si="24"/>
        <v>2</v>
      </c>
      <c r="R32" s="56">
        <f t="shared" si="24"/>
        <v>3</v>
      </c>
      <c r="S32" s="56">
        <f t="shared" si="24"/>
        <v>1</v>
      </c>
      <c r="T32" s="56">
        <f t="shared" si="24"/>
        <v>1</v>
      </c>
      <c r="U32" s="56">
        <f t="shared" si="24"/>
        <v>0</v>
      </c>
      <c r="V32" s="56">
        <f t="shared" si="24"/>
        <v>1</v>
      </c>
      <c r="W32" s="56">
        <f t="shared" si="24"/>
        <v>0</v>
      </c>
      <c r="X32" s="56">
        <f t="shared" si="24"/>
        <v>1</v>
      </c>
      <c r="Y32" s="56">
        <f t="shared" si="24"/>
        <v>2</v>
      </c>
      <c r="Z32" s="56">
        <f t="shared" si="24"/>
        <v>0</v>
      </c>
      <c r="AA32" s="56">
        <f t="shared" si="24"/>
        <v>1</v>
      </c>
      <c r="AB32" s="56">
        <f t="shared" si="24"/>
        <v>1</v>
      </c>
      <c r="AC32" s="56">
        <f t="shared" si="24"/>
        <v>2</v>
      </c>
      <c r="AD32" s="56">
        <f t="shared" si="24"/>
        <v>0</v>
      </c>
      <c r="AE32" s="56">
        <f t="shared" si="24"/>
        <v>0</v>
      </c>
      <c r="AF32" s="56">
        <f t="shared" si="24"/>
        <v>3</v>
      </c>
      <c r="AG32" s="56">
        <f t="shared" si="24"/>
        <v>1</v>
      </c>
      <c r="AH32" s="56">
        <f t="shared" si="24"/>
        <v>1</v>
      </c>
      <c r="AI32" s="56">
        <f t="shared" si="24"/>
        <v>2</v>
      </c>
      <c r="AJ32" s="56">
        <f t="shared" si="24"/>
        <v>1</v>
      </c>
      <c r="AK32" s="56">
        <f t="shared" si="24"/>
        <v>0</v>
      </c>
      <c r="AL32" s="56">
        <f t="shared" si="24"/>
        <v>1</v>
      </c>
      <c r="AM32" s="56">
        <f t="shared" si="24"/>
        <v>3</v>
      </c>
      <c r="AN32" s="56">
        <f t="shared" si="24"/>
        <v>0</v>
      </c>
      <c r="AO32" s="56">
        <f t="shared" si="24"/>
        <v>1</v>
      </c>
      <c r="AP32" s="56">
        <f t="shared" si="24"/>
        <v>2</v>
      </c>
      <c r="AQ32" s="56">
        <f t="shared" si="24"/>
        <v>2</v>
      </c>
      <c r="AR32" s="56">
        <f>COUNTIF(AR5:AR28,"お")</f>
        <v>0</v>
      </c>
      <c r="AS32" s="56">
        <f>COUNTIF(AS5:AS28,"お")</f>
        <v>0</v>
      </c>
      <c r="AT32" s="56">
        <f>COUNTIF(AT5:AT28,"お")</f>
        <v>0</v>
      </c>
      <c r="AU32" s="56">
        <f>COUNTIF(AU5:AU28,"お")</f>
        <v>0</v>
      </c>
      <c r="AV32" s="56">
        <f t="shared" si="22"/>
        <v>36</v>
      </c>
      <c r="AW32" s="56"/>
      <c r="AX32" s="56"/>
      <c r="AY32" s="56"/>
      <c r="AZ32" s="56"/>
      <c r="BA32" s="56"/>
      <c r="BB32" s="66"/>
      <c r="BC32" s="66"/>
      <c r="BD32" s="67"/>
      <c r="BE32" s="61"/>
      <c r="BF32" s="55"/>
    </row>
    <row r="33" spans="1:58" s="54" customFormat="1" ht="24" customHeight="1" x14ac:dyDescent="0.45">
      <c r="A33" s="72"/>
      <c r="B33" s="57" t="s">
        <v>395</v>
      </c>
      <c r="C33" s="57"/>
      <c r="D33" s="57"/>
      <c r="E33" s="57"/>
      <c r="F33" s="57"/>
      <c r="G33" s="57"/>
      <c r="H33" s="57"/>
      <c r="I33" s="57"/>
      <c r="J33" s="57"/>
      <c r="K33" s="57"/>
      <c r="L33" s="57"/>
      <c r="M33" s="56">
        <f t="shared" ref="M33:AQ33" si="25">COUNTIF(M5:M28,"お")+COUNTIF(M5:M28,"夕")</f>
        <v>1</v>
      </c>
      <c r="N33" s="56">
        <f t="shared" si="25"/>
        <v>2</v>
      </c>
      <c r="O33" s="56">
        <f t="shared" si="25"/>
        <v>2</v>
      </c>
      <c r="P33" s="56">
        <f t="shared" si="25"/>
        <v>0</v>
      </c>
      <c r="Q33" s="56">
        <f t="shared" si="25"/>
        <v>3</v>
      </c>
      <c r="R33" s="56">
        <f t="shared" si="25"/>
        <v>4</v>
      </c>
      <c r="S33" s="56">
        <f t="shared" si="25"/>
        <v>1</v>
      </c>
      <c r="T33" s="56">
        <f t="shared" si="25"/>
        <v>1</v>
      </c>
      <c r="U33" s="56">
        <f t="shared" si="25"/>
        <v>0</v>
      </c>
      <c r="V33" s="56">
        <f t="shared" si="25"/>
        <v>2</v>
      </c>
      <c r="W33" s="56">
        <f t="shared" si="25"/>
        <v>1</v>
      </c>
      <c r="X33" s="56">
        <f t="shared" si="25"/>
        <v>2</v>
      </c>
      <c r="Y33" s="56">
        <f t="shared" si="25"/>
        <v>3</v>
      </c>
      <c r="Z33" s="56">
        <f t="shared" si="25"/>
        <v>0</v>
      </c>
      <c r="AA33" s="56">
        <f t="shared" si="25"/>
        <v>1</v>
      </c>
      <c r="AB33" s="56">
        <f t="shared" si="25"/>
        <v>3</v>
      </c>
      <c r="AC33" s="56">
        <f t="shared" si="25"/>
        <v>2</v>
      </c>
      <c r="AD33" s="56">
        <f t="shared" si="25"/>
        <v>0</v>
      </c>
      <c r="AE33" s="56">
        <f t="shared" si="25"/>
        <v>1</v>
      </c>
      <c r="AF33" s="56">
        <f t="shared" si="25"/>
        <v>4</v>
      </c>
      <c r="AG33" s="56">
        <f t="shared" si="25"/>
        <v>1</v>
      </c>
      <c r="AH33" s="56">
        <f t="shared" si="25"/>
        <v>1</v>
      </c>
      <c r="AI33" s="56">
        <f t="shared" si="25"/>
        <v>2</v>
      </c>
      <c r="AJ33" s="56">
        <f t="shared" si="25"/>
        <v>2</v>
      </c>
      <c r="AK33" s="56">
        <f t="shared" si="25"/>
        <v>1</v>
      </c>
      <c r="AL33" s="56">
        <f t="shared" si="25"/>
        <v>2</v>
      </c>
      <c r="AM33" s="56">
        <f t="shared" si="25"/>
        <v>4</v>
      </c>
      <c r="AN33" s="56">
        <f t="shared" si="25"/>
        <v>0</v>
      </c>
      <c r="AO33" s="56">
        <f t="shared" si="25"/>
        <v>1</v>
      </c>
      <c r="AP33" s="56">
        <f t="shared" si="25"/>
        <v>2</v>
      </c>
      <c r="AQ33" s="56">
        <f t="shared" si="25"/>
        <v>3</v>
      </c>
      <c r="AR33" s="56" t="e">
        <f>COUNTIF(#REF!,"お")+COUNTIF(#REF!,"夕")</f>
        <v>#REF!</v>
      </c>
      <c r="AS33" s="56" t="e">
        <f>COUNTIF(#REF!,"お")+COUNTIF(#REF!,"夕")</f>
        <v>#REF!</v>
      </c>
      <c r="AT33" s="56" t="e">
        <f>COUNTIF(#REF!,"お")+COUNTIF(#REF!,"夕")</f>
        <v>#REF!</v>
      </c>
      <c r="AU33" s="56" t="e">
        <f>COUNTIF(#REF!,"お")+COUNTIF(#REF!,"夕")</f>
        <v>#REF!</v>
      </c>
      <c r="AV33" s="56">
        <f t="shared" si="22"/>
        <v>52</v>
      </c>
      <c r="AW33" s="56"/>
      <c r="AX33" s="56"/>
      <c r="AY33" s="56"/>
      <c r="AZ33" s="56"/>
      <c r="BA33" s="56"/>
      <c r="BB33" s="66"/>
      <c r="BC33" s="66"/>
      <c r="BD33" s="67"/>
      <c r="BE33" s="61"/>
      <c r="BF33" s="55"/>
    </row>
    <row r="34" spans="1:58" s="54" customFormat="1" ht="24" customHeight="1" x14ac:dyDescent="0.45">
      <c r="A34" s="72"/>
      <c r="BB34" s="69"/>
      <c r="BC34" s="115"/>
      <c r="BD34" s="88"/>
      <c r="BE34" s="61"/>
      <c r="BF34" s="55"/>
    </row>
    <row r="35" spans="1:58" s="54" customFormat="1" ht="24" customHeight="1" x14ac:dyDescent="0.45">
      <c r="A35" s="72"/>
      <c r="BB35" s="69" t="s">
        <v>396</v>
      </c>
      <c r="BC35" s="115"/>
      <c r="BD35" s="88"/>
      <c r="BE35" s="61"/>
      <c r="BF35" s="55"/>
    </row>
    <row r="36" spans="1:58" s="54" customFormat="1" ht="24" customHeight="1" x14ac:dyDescent="0.45">
      <c r="A36" s="72"/>
      <c r="BB36" s="69"/>
      <c r="BC36" s="115"/>
      <c r="BD36" s="88"/>
      <c r="BE36" s="61"/>
      <c r="BF36" s="55"/>
    </row>
    <row r="37" spans="1:58" s="54" customFormat="1" ht="24" customHeight="1" x14ac:dyDescent="0.45">
      <c r="A37" s="72"/>
      <c r="BB37" s="69"/>
      <c r="BC37" s="115"/>
      <c r="BD37" s="69"/>
      <c r="BE37" s="61"/>
      <c r="BF37" s="55"/>
    </row>
    <row r="38" spans="1:58" s="54" customFormat="1" ht="24" customHeight="1" x14ac:dyDescent="0.45">
      <c r="A38" s="7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70"/>
      <c r="BC38" s="116"/>
      <c r="BD38" s="69"/>
      <c r="BE38" s="61"/>
      <c r="BF38" s="55"/>
    </row>
    <row r="39" spans="1:58" s="54" customFormat="1" ht="24" customHeight="1" x14ac:dyDescent="0.45">
      <c r="A39" s="7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70"/>
      <c r="BC39" s="116"/>
      <c r="BD39" s="69"/>
      <c r="BE39" s="61"/>
      <c r="BF39" s="55"/>
    </row>
    <row r="40" spans="1:58" s="54" customFormat="1" ht="26.4" customHeight="1" x14ac:dyDescent="0.4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70"/>
      <c r="AC40" s="116"/>
      <c r="AD40" s="70"/>
      <c r="AE40" s="53"/>
      <c r="AF40" s="55"/>
    </row>
    <row r="41" spans="1:58" s="54" customFormat="1" ht="26.4" customHeight="1" x14ac:dyDescent="0.4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70"/>
      <c r="AC41" s="116"/>
      <c r="AD41" s="70"/>
    </row>
    <row r="42" spans="1:58" s="54" customFormat="1" ht="26.4" customHeight="1" x14ac:dyDescent="0.4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70"/>
      <c r="AC42" s="116"/>
      <c r="AD42" s="70"/>
      <c r="AE42" s="53"/>
    </row>
    <row r="43" spans="1:58" s="54" customFormat="1" ht="26.4" customHeight="1" x14ac:dyDescent="0.4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70"/>
      <c r="AC43" s="116"/>
      <c r="AD43" s="70"/>
      <c r="AE43" s="53"/>
    </row>
    <row r="44" spans="1:58" s="54" customFormat="1" ht="26.4" customHeight="1" x14ac:dyDescent="0.4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70"/>
      <c r="AC44" s="116"/>
      <c r="AD44" s="70"/>
      <c r="AE44" s="53"/>
    </row>
    <row r="45" spans="1:58" s="54" customFormat="1" ht="26.4" customHeight="1" x14ac:dyDescent="0.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70"/>
      <c r="AC45" s="116"/>
      <c r="AD45" s="70"/>
      <c r="AE45" s="53"/>
    </row>
    <row r="46" spans="1:58" s="54" customFormat="1" ht="21.6" x14ac:dyDescent="0.45">
      <c r="A46" s="48"/>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70"/>
      <c r="BE46" s="53"/>
    </row>
    <row r="47" spans="1:58" s="54" customFormat="1" ht="21.6" x14ac:dyDescent="0.45">
      <c r="A47" s="48"/>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70"/>
      <c r="BE47" s="53"/>
    </row>
    <row r="48" spans="1:58" s="54" customFormat="1" ht="21.6" x14ac:dyDescent="0.45">
      <c r="A48" s="48"/>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row>
    <row r="49" spans="1:58" s="54" customFormat="1" ht="21.6" x14ac:dyDescent="0.45">
      <c r="A49" s="48"/>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1" spans="1:58" s="54" customFormat="1" ht="26.4" customHeight="1" x14ac:dyDescent="0.45">
      <c r="A51" s="48"/>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c r="BF51" s="55"/>
    </row>
    <row r="52" spans="1:58" s="54" customFormat="1" ht="26.4" customHeight="1" x14ac:dyDescent="0.45">
      <c r="A52" s="48"/>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c r="BF52" s="55"/>
    </row>
    <row r="53" spans="1:58" s="54" customFormat="1" ht="26.4" customHeight="1"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c r="BF53" s="55"/>
    </row>
    <row r="54" spans="1:58" s="54" customFormat="1" ht="26.4" customHeight="1"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c r="BF54" s="55"/>
    </row>
    <row r="55" spans="1:58" s="54" customFormat="1" ht="26.4" customHeight="1" x14ac:dyDescent="0.45">
      <c r="A55" s="48"/>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c r="BF55" s="55"/>
    </row>
    <row r="56" spans="1:58" s="54" customFormat="1" ht="26.4" customHeight="1"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c r="BF56" s="55"/>
    </row>
  </sheetData>
  <mergeCells count="19">
    <mergeCell ref="AW3:AW4"/>
    <mergeCell ref="P1:R2"/>
    <mergeCell ref="S1:S2"/>
    <mergeCell ref="T1:U2"/>
    <mergeCell ref="V1:AN2"/>
    <mergeCell ref="AQ1:AV1"/>
    <mergeCell ref="AO2:AV2"/>
    <mergeCell ref="A3:A4"/>
    <mergeCell ref="B3:B4"/>
    <mergeCell ref="C3:J4"/>
    <mergeCell ref="K3:L4"/>
    <mergeCell ref="AV3:AV4"/>
    <mergeCell ref="BD3:BD4"/>
    <mergeCell ref="AX3:AX4"/>
    <mergeCell ref="AY3:AY4"/>
    <mergeCell ref="AZ3:AZ4"/>
    <mergeCell ref="BA3:BA4"/>
    <mergeCell ref="BB3:BB4"/>
    <mergeCell ref="BC3:BC4"/>
  </mergeCells>
  <phoneticPr fontId="1"/>
  <conditionalFormatting sqref="M8:AJ8 AL8:AQ8">
    <cfRule type="cellIs" dxfId="44" priority="29" operator="equal">
      <formula>"""夕"""</formula>
    </cfRule>
  </conditionalFormatting>
  <conditionalFormatting sqref="M5:AQ7 M8:AJ8 AL8:AQ8 M14:AJ14 M26:U27 Y26:AW27">
    <cfRule type="cellIs" dxfId="43" priority="27" operator="equal">
      <formula>"お"</formula>
    </cfRule>
    <cfRule type="cellIs" dxfId="42" priority="28" operator="equal">
      <formula>"夕"</formula>
    </cfRule>
  </conditionalFormatting>
  <conditionalFormatting sqref="M9:AQ13">
    <cfRule type="cellIs" dxfId="41" priority="21" operator="equal">
      <formula>"お"</formula>
    </cfRule>
    <cfRule type="cellIs" dxfId="40" priority="22" operator="equal">
      <formula>"夕"</formula>
    </cfRule>
  </conditionalFormatting>
  <conditionalFormatting sqref="M4:AU4">
    <cfRule type="cellIs" dxfId="39" priority="32" operator="equal">
      <formula>"土"</formula>
    </cfRule>
    <cfRule type="cellIs" dxfId="38" priority="33" operator="equal">
      <formula>"日"</formula>
    </cfRule>
  </conditionalFormatting>
  <conditionalFormatting sqref="M29:AU29">
    <cfRule type="cellIs" dxfId="37" priority="30" operator="greaterThan">
      <formula>7</formula>
    </cfRule>
    <cfRule type="cellIs" dxfId="36" priority="31" operator="greaterThan">
      <formula>6</formula>
    </cfRule>
  </conditionalFormatting>
  <conditionalFormatting sqref="AR5:AW25 M15:AQ25 M28:AW28">
    <cfRule type="cellIs" dxfId="35" priority="3" operator="equal">
      <formula>"お"</formula>
    </cfRule>
    <cfRule type="cellIs" dxfId="34" priority="4"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9" scale="6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DB475-F699-4380-8600-120CAA471542}">
  <dimension ref="A1:BF63"/>
  <sheetViews>
    <sheetView zoomScale="70" zoomScaleNormal="70" workbookViewId="0">
      <pane ySplit="4" topLeftCell="A15" activePane="bottomLeft" state="frozen"/>
      <selection pane="bottomLeft" activeCell="AC27" sqref="AC27"/>
    </sheetView>
  </sheetViews>
  <sheetFormatPr defaultColWidth="8.69921875" defaultRowHeight="18" x14ac:dyDescent="0.45"/>
  <cols>
    <col min="1" max="1" width="4.69921875" style="48" customWidth="1"/>
    <col min="2" max="2" width="17.89843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19.5976562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8</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6.4" customHeight="1" x14ac:dyDescent="0.45">
      <c r="A3" s="168"/>
      <c r="B3" s="170" t="s">
        <v>0</v>
      </c>
      <c r="C3" s="165" t="s">
        <v>309</v>
      </c>
      <c r="D3" s="165"/>
      <c r="E3" s="165"/>
      <c r="F3" s="165"/>
      <c r="G3" s="165"/>
      <c r="H3" s="165"/>
      <c r="I3" s="165"/>
      <c r="J3" s="165"/>
      <c r="K3" s="165" t="s">
        <v>310</v>
      </c>
      <c r="L3" s="165"/>
      <c r="M3" s="52">
        <f>BE4</f>
        <v>46235</v>
      </c>
      <c r="N3" s="52">
        <f t="shared" ref="N3:AQ3" si="0">IF(M3=$BE$6,"",IF(M3="","",M3+1))</f>
        <v>46236</v>
      </c>
      <c r="O3" s="52">
        <f t="shared" si="0"/>
        <v>46237</v>
      </c>
      <c r="P3" s="52">
        <f t="shared" si="0"/>
        <v>46238</v>
      </c>
      <c r="Q3" s="52">
        <f t="shared" si="0"/>
        <v>46239</v>
      </c>
      <c r="R3" s="52">
        <f t="shared" si="0"/>
        <v>46240</v>
      </c>
      <c r="S3" s="52">
        <f t="shared" si="0"/>
        <v>46241</v>
      </c>
      <c r="T3" s="52">
        <f t="shared" si="0"/>
        <v>46242</v>
      </c>
      <c r="U3" s="52">
        <f t="shared" si="0"/>
        <v>46243</v>
      </c>
      <c r="V3" s="52">
        <f t="shared" si="0"/>
        <v>46244</v>
      </c>
      <c r="W3" s="52">
        <f t="shared" si="0"/>
        <v>46245</v>
      </c>
      <c r="X3" s="52">
        <f t="shared" si="0"/>
        <v>46246</v>
      </c>
      <c r="Y3" s="52">
        <f t="shared" si="0"/>
        <v>46247</v>
      </c>
      <c r="Z3" s="52">
        <f t="shared" si="0"/>
        <v>46248</v>
      </c>
      <c r="AA3" s="52">
        <f t="shared" si="0"/>
        <v>46249</v>
      </c>
      <c r="AB3" s="52">
        <f t="shared" si="0"/>
        <v>46250</v>
      </c>
      <c r="AC3" s="52">
        <f t="shared" si="0"/>
        <v>46251</v>
      </c>
      <c r="AD3" s="52">
        <f t="shared" si="0"/>
        <v>46252</v>
      </c>
      <c r="AE3" s="52">
        <f t="shared" si="0"/>
        <v>46253</v>
      </c>
      <c r="AF3" s="52">
        <f t="shared" si="0"/>
        <v>46254</v>
      </c>
      <c r="AG3" s="52">
        <f t="shared" si="0"/>
        <v>46255</v>
      </c>
      <c r="AH3" s="52">
        <f t="shared" si="0"/>
        <v>46256</v>
      </c>
      <c r="AI3" s="52">
        <f t="shared" si="0"/>
        <v>46257</v>
      </c>
      <c r="AJ3" s="52">
        <f t="shared" si="0"/>
        <v>46258</v>
      </c>
      <c r="AK3" s="52">
        <f t="shared" si="0"/>
        <v>46259</v>
      </c>
      <c r="AL3" s="52">
        <f t="shared" si="0"/>
        <v>46260</v>
      </c>
      <c r="AM3" s="52">
        <f t="shared" si="0"/>
        <v>46261</v>
      </c>
      <c r="AN3" s="52">
        <f t="shared" si="0"/>
        <v>46262</v>
      </c>
      <c r="AO3" s="52">
        <f t="shared" si="0"/>
        <v>46263</v>
      </c>
      <c r="AP3" s="52">
        <f t="shared" si="0"/>
        <v>46264</v>
      </c>
      <c r="AQ3" s="52">
        <f t="shared" si="0"/>
        <v>46265</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土</v>
      </c>
      <c r="N4" s="153" t="str">
        <f t="shared" si="1"/>
        <v>日</v>
      </c>
      <c r="O4" s="153" t="str">
        <f t="shared" si="1"/>
        <v>月</v>
      </c>
      <c r="P4" s="153" t="str">
        <f t="shared" si="1"/>
        <v>火</v>
      </c>
      <c r="Q4" s="153" t="str">
        <f t="shared" si="1"/>
        <v>水</v>
      </c>
      <c r="R4" s="153" t="str">
        <f t="shared" si="1"/>
        <v>木</v>
      </c>
      <c r="S4" s="153" t="str">
        <f t="shared" si="1"/>
        <v>金</v>
      </c>
      <c r="T4" s="153" t="str">
        <f t="shared" si="1"/>
        <v>土</v>
      </c>
      <c r="U4" s="153" t="str">
        <f t="shared" si="1"/>
        <v>日</v>
      </c>
      <c r="V4" s="153" t="str">
        <f t="shared" si="1"/>
        <v>月</v>
      </c>
      <c r="W4" s="153" t="str">
        <f t="shared" si="1"/>
        <v>火</v>
      </c>
      <c r="X4" s="153" t="str">
        <f t="shared" si="1"/>
        <v>水</v>
      </c>
      <c r="Y4" s="153" t="str">
        <f t="shared" si="1"/>
        <v>木</v>
      </c>
      <c r="Z4" s="153" t="str">
        <f t="shared" si="1"/>
        <v>金</v>
      </c>
      <c r="AA4" s="153" t="str">
        <f t="shared" si="1"/>
        <v>土</v>
      </c>
      <c r="AB4" s="153" t="str">
        <f t="shared" si="1"/>
        <v>日</v>
      </c>
      <c r="AC4" s="153" t="str">
        <f t="shared" si="1"/>
        <v>月</v>
      </c>
      <c r="AD4" s="153" t="str">
        <f t="shared" si="1"/>
        <v>火</v>
      </c>
      <c r="AE4" s="153" t="str">
        <f t="shared" si="1"/>
        <v>水</v>
      </c>
      <c r="AF4" s="153" t="str">
        <f t="shared" si="1"/>
        <v>木</v>
      </c>
      <c r="AG4" s="153" t="str">
        <f t="shared" si="1"/>
        <v>金</v>
      </c>
      <c r="AH4" s="153" t="str">
        <f t="shared" si="1"/>
        <v>土</v>
      </c>
      <c r="AI4" s="153" t="str">
        <f t="shared" si="1"/>
        <v>日</v>
      </c>
      <c r="AJ4" s="153" t="str">
        <f t="shared" si="1"/>
        <v>月</v>
      </c>
      <c r="AK4" s="153" t="str">
        <f t="shared" si="1"/>
        <v>火</v>
      </c>
      <c r="AL4" s="153" t="str">
        <f t="shared" si="1"/>
        <v>水</v>
      </c>
      <c r="AM4" s="153" t="str">
        <f t="shared" si="1"/>
        <v>木</v>
      </c>
      <c r="AN4" s="153" t="str">
        <f t="shared" si="1"/>
        <v>金</v>
      </c>
      <c r="AO4" s="153" t="str">
        <f t="shared" si="1"/>
        <v>土</v>
      </c>
      <c r="AP4" s="153" t="str">
        <f t="shared" si="1"/>
        <v>日</v>
      </c>
      <c r="AQ4" s="153" t="str">
        <f t="shared" si="1"/>
        <v>月</v>
      </c>
      <c r="AR4" s="153" t="s">
        <v>318</v>
      </c>
      <c r="AS4" s="153" t="s">
        <v>319</v>
      </c>
      <c r="AT4" s="153" t="s">
        <v>320</v>
      </c>
      <c r="AU4" s="153" t="s">
        <v>321</v>
      </c>
      <c r="AV4" s="165"/>
      <c r="AW4" s="171"/>
      <c r="AX4" s="165"/>
      <c r="AY4" s="165"/>
      <c r="AZ4" s="165"/>
      <c r="BA4" s="165"/>
      <c r="BB4" s="164"/>
      <c r="BC4" s="167"/>
      <c r="BD4" s="164"/>
      <c r="BE4" s="62">
        <f>DATE(P1,T1,1)</f>
        <v>46235</v>
      </c>
      <c r="BF4" s="55"/>
    </row>
    <row r="5" spans="1:58" s="54" customFormat="1" ht="24" customHeight="1" x14ac:dyDescent="0.45">
      <c r="A5" s="72">
        <v>1</v>
      </c>
      <c r="B5" s="57" t="s">
        <v>322</v>
      </c>
      <c r="C5" s="57"/>
      <c r="D5" s="57"/>
      <c r="E5" s="57"/>
      <c r="F5" s="57"/>
      <c r="G5" s="57"/>
      <c r="H5" s="57"/>
      <c r="I5" s="57"/>
      <c r="J5" s="57"/>
      <c r="K5" s="57"/>
      <c r="L5" s="57"/>
      <c r="M5" s="56" t="str">
        <f>IF(M$4="土","昼",IF(M$4="日","○",IF(M$4="月","夕","")))</f>
        <v>昼</v>
      </c>
      <c r="N5" s="56" t="str">
        <f t="shared" ref="N5:AQ5" si="2">IF(N$4="土","昼",IF(N$4="日","○",IF(N$4="月","夕","")))</f>
        <v>○</v>
      </c>
      <c r="O5" s="56" t="str">
        <f t="shared" si="2"/>
        <v>夕</v>
      </c>
      <c r="P5" s="56" t="str">
        <f t="shared" si="2"/>
        <v/>
      </c>
      <c r="Q5" s="56" t="str">
        <f t="shared" si="2"/>
        <v/>
      </c>
      <c r="R5" s="56" t="str">
        <f t="shared" si="2"/>
        <v/>
      </c>
      <c r="S5" s="56" t="str">
        <f t="shared" si="2"/>
        <v/>
      </c>
      <c r="T5" s="56" t="str">
        <f t="shared" si="2"/>
        <v>昼</v>
      </c>
      <c r="U5" s="56" t="str">
        <f t="shared" si="2"/>
        <v>○</v>
      </c>
      <c r="V5" s="56" t="str">
        <f t="shared" si="2"/>
        <v>夕</v>
      </c>
      <c r="W5" s="56" t="str">
        <f t="shared" si="2"/>
        <v/>
      </c>
      <c r="X5" s="56" t="str">
        <f t="shared" si="2"/>
        <v/>
      </c>
      <c r="Y5" s="56" t="str">
        <f t="shared" si="2"/>
        <v/>
      </c>
      <c r="Z5" s="56" t="str">
        <f t="shared" si="2"/>
        <v/>
      </c>
      <c r="AA5" s="56" t="str">
        <f t="shared" si="2"/>
        <v>昼</v>
      </c>
      <c r="AB5" s="56" t="str">
        <f t="shared" si="2"/>
        <v>○</v>
      </c>
      <c r="AC5" s="56" t="str">
        <f t="shared" si="2"/>
        <v>夕</v>
      </c>
      <c r="AD5" s="56" t="str">
        <f t="shared" si="2"/>
        <v/>
      </c>
      <c r="AE5" s="56" t="str">
        <f t="shared" si="2"/>
        <v/>
      </c>
      <c r="AF5" s="56" t="str">
        <f t="shared" si="2"/>
        <v/>
      </c>
      <c r="AG5" s="56" t="str">
        <f t="shared" si="2"/>
        <v/>
      </c>
      <c r="AH5" s="56" t="str">
        <f t="shared" si="2"/>
        <v>昼</v>
      </c>
      <c r="AI5" s="56" t="str">
        <f t="shared" si="2"/>
        <v>○</v>
      </c>
      <c r="AJ5" s="56" t="str">
        <f t="shared" si="2"/>
        <v>夕</v>
      </c>
      <c r="AK5" s="56" t="str">
        <f t="shared" si="2"/>
        <v/>
      </c>
      <c r="AL5" s="56" t="str">
        <f t="shared" si="2"/>
        <v/>
      </c>
      <c r="AM5" s="56" t="str">
        <f t="shared" si="2"/>
        <v/>
      </c>
      <c r="AN5" s="56" t="str">
        <f t="shared" si="2"/>
        <v/>
      </c>
      <c r="AO5" s="56" t="str">
        <f t="shared" si="2"/>
        <v>昼</v>
      </c>
      <c r="AP5" s="56" t="str">
        <f t="shared" si="2"/>
        <v>○</v>
      </c>
      <c r="AQ5" s="56" t="str">
        <f t="shared" si="2"/>
        <v>夕</v>
      </c>
      <c r="AR5" s="56">
        <f t="shared" ref="AR5:AR29" si="3">IF(COUNTIF($M5:$AQ5,"昼")=0,"",COUNTIF($M5:$AQ5,"昼"))</f>
        <v>5</v>
      </c>
      <c r="AS5" s="56">
        <f t="shared" ref="AS5:AS29" si="4">IF(COUNTIF($M5:$AQ5,"○")=0,"",COUNTIF($M5:$AQ5,"○"))</f>
        <v>5</v>
      </c>
      <c r="AT5" s="56" t="str">
        <f t="shared" ref="AT5:AT29" si="5">IF(COUNTIF($M5:$AQ5,"お")=0,"",COUNTIF($M5:$AQ5,"お"))</f>
        <v/>
      </c>
      <c r="AU5" s="56">
        <f t="shared" ref="AU5:AU29" si="6">IF(COUNTIF($M5:$AQ5,"夕")=0,"",COUNTIF($M5:$AQ5,"夕"))</f>
        <v>5</v>
      </c>
      <c r="AV5" s="56">
        <f t="shared" ref="AV5:AV29" si="7">IF(COUNTA(M5:AQ5)=0,"",SUM(AR5:AU5))</f>
        <v>15</v>
      </c>
      <c r="AW5" s="56" t="s">
        <v>323</v>
      </c>
      <c r="AX5" s="59" t="s">
        <v>324</v>
      </c>
      <c r="AY5" s="59">
        <v>8025513822</v>
      </c>
      <c r="AZ5" s="59" t="s">
        <v>325</v>
      </c>
      <c r="BA5" s="59">
        <v>8027251721</v>
      </c>
      <c r="BB5" s="66" t="s">
        <v>326</v>
      </c>
      <c r="BC5" s="56">
        <v>3</v>
      </c>
      <c r="BD5" s="88"/>
      <c r="BE5" s="61" t="s">
        <v>327</v>
      </c>
      <c r="BF5" s="55" t="s">
        <v>328</v>
      </c>
    </row>
    <row r="6" spans="1:58" s="54" customFormat="1" ht="24" customHeight="1" x14ac:dyDescent="0.45">
      <c r="A6" s="72">
        <v>2</v>
      </c>
      <c r="B6" s="57" t="s">
        <v>329</v>
      </c>
      <c r="C6" s="57"/>
      <c r="D6" s="57"/>
      <c r="E6" s="57"/>
      <c r="F6" s="57"/>
      <c r="G6" s="57"/>
      <c r="H6" s="57"/>
      <c r="I6" s="57"/>
      <c r="J6" s="57"/>
      <c r="K6" s="57"/>
      <c r="L6" s="57"/>
      <c r="M6" s="56" t="str">
        <f>IF(M$4="土","昼",IF(M$4="日","夕",""))</f>
        <v>昼</v>
      </c>
      <c r="N6" s="56" t="str">
        <f t="shared" ref="N6:AQ6" si="8">IF(N$4="土","昼",IF(N$4="日","夕",""))</f>
        <v>夕</v>
      </c>
      <c r="O6" s="56" t="str">
        <f t="shared" si="8"/>
        <v/>
      </c>
      <c r="P6" s="56" t="str">
        <f t="shared" si="8"/>
        <v/>
      </c>
      <c r="Q6" s="56" t="str">
        <f t="shared" si="8"/>
        <v/>
      </c>
      <c r="R6" s="56" t="str">
        <f t="shared" si="8"/>
        <v/>
      </c>
      <c r="S6" s="56" t="str">
        <f t="shared" si="8"/>
        <v/>
      </c>
      <c r="T6" s="56" t="str">
        <f t="shared" si="8"/>
        <v>昼</v>
      </c>
      <c r="U6" s="56" t="str">
        <f t="shared" si="8"/>
        <v>夕</v>
      </c>
      <c r="V6" s="56" t="str">
        <f t="shared" si="8"/>
        <v/>
      </c>
      <c r="W6" s="56" t="str">
        <f t="shared" si="8"/>
        <v/>
      </c>
      <c r="X6" s="56" t="str">
        <f t="shared" si="8"/>
        <v/>
      </c>
      <c r="Y6" s="56" t="str">
        <f t="shared" si="8"/>
        <v/>
      </c>
      <c r="Z6" s="56" t="str">
        <f t="shared" si="8"/>
        <v/>
      </c>
      <c r="AA6" s="56" t="str">
        <f t="shared" si="8"/>
        <v>昼</v>
      </c>
      <c r="AB6" s="56" t="str">
        <f t="shared" si="8"/>
        <v>夕</v>
      </c>
      <c r="AC6" s="56" t="str">
        <f t="shared" si="8"/>
        <v/>
      </c>
      <c r="AD6" s="56" t="str">
        <f t="shared" si="8"/>
        <v/>
      </c>
      <c r="AE6" s="56" t="str">
        <f t="shared" si="8"/>
        <v/>
      </c>
      <c r="AF6" s="56" t="str">
        <f t="shared" si="8"/>
        <v/>
      </c>
      <c r="AG6" s="56" t="str">
        <f t="shared" si="8"/>
        <v/>
      </c>
      <c r="AH6" s="56" t="str">
        <f t="shared" si="8"/>
        <v>昼</v>
      </c>
      <c r="AI6" s="56" t="str">
        <f t="shared" si="8"/>
        <v>夕</v>
      </c>
      <c r="AJ6" s="56" t="str">
        <f t="shared" si="8"/>
        <v/>
      </c>
      <c r="AK6" s="56" t="str">
        <f t="shared" si="8"/>
        <v/>
      </c>
      <c r="AL6" s="56" t="str">
        <f t="shared" si="8"/>
        <v/>
      </c>
      <c r="AM6" s="56" t="str">
        <f t="shared" si="8"/>
        <v/>
      </c>
      <c r="AN6" s="56" t="str">
        <f t="shared" si="8"/>
        <v/>
      </c>
      <c r="AO6" s="56" t="str">
        <f t="shared" si="8"/>
        <v>昼</v>
      </c>
      <c r="AP6" s="56" t="str">
        <f t="shared" si="8"/>
        <v>夕</v>
      </c>
      <c r="AQ6" s="56" t="str">
        <f t="shared" si="8"/>
        <v/>
      </c>
      <c r="AR6" s="56">
        <f t="shared" si="3"/>
        <v>5</v>
      </c>
      <c r="AS6" s="56" t="str">
        <f t="shared" si="4"/>
        <v/>
      </c>
      <c r="AT6" s="56" t="str">
        <f t="shared" si="5"/>
        <v/>
      </c>
      <c r="AU6" s="56">
        <f t="shared" si="6"/>
        <v>5</v>
      </c>
      <c r="AV6" s="56">
        <f t="shared" si="7"/>
        <v>10</v>
      </c>
      <c r="AW6" s="56" t="s">
        <v>330</v>
      </c>
      <c r="AX6" s="59" t="s">
        <v>331</v>
      </c>
      <c r="AY6" s="59">
        <v>9086202017</v>
      </c>
      <c r="AZ6" s="59" t="s">
        <v>332</v>
      </c>
      <c r="BA6" s="59">
        <v>9068675997</v>
      </c>
      <c r="BB6" s="66" t="s">
        <v>326</v>
      </c>
      <c r="BC6" s="56">
        <v>4</v>
      </c>
      <c r="BD6" s="88"/>
      <c r="BE6" s="62">
        <f>DATE(P1,T1+1,1)-1</f>
        <v>46265</v>
      </c>
      <c r="BF6" s="55" t="s">
        <v>333</v>
      </c>
    </row>
    <row r="7" spans="1:58" s="54" customFormat="1" ht="24" customHeight="1" x14ac:dyDescent="0.45">
      <c r="A7" s="72">
        <v>3</v>
      </c>
      <c r="B7" s="57" t="s">
        <v>334</v>
      </c>
      <c r="C7" s="57"/>
      <c r="D7" s="57"/>
      <c r="E7" s="57"/>
      <c r="F7" s="57"/>
      <c r="G7" s="57"/>
      <c r="H7" s="57"/>
      <c r="I7" s="57"/>
      <c r="J7" s="57"/>
      <c r="K7" s="57"/>
      <c r="L7" s="57"/>
      <c r="M7" s="56" t="str">
        <f>IF(M$4="金","昼",IF(M$4="土","○",IF(M$4="日","○",IF(M$4="月","お",""))))</f>
        <v>○</v>
      </c>
      <c r="N7" s="56" t="str">
        <f t="shared" ref="N7:AQ7" si="9">IF(N$4="金","昼",IF(N$4="土","○",IF(N$4="日","○",IF(N$4="月","お",""))))</f>
        <v>○</v>
      </c>
      <c r="O7" s="56" t="str">
        <f t="shared" si="9"/>
        <v>お</v>
      </c>
      <c r="P7" s="56" t="str">
        <f t="shared" si="9"/>
        <v/>
      </c>
      <c r="Q7" s="56" t="str">
        <f t="shared" si="9"/>
        <v/>
      </c>
      <c r="R7" s="56" t="str">
        <f t="shared" si="9"/>
        <v/>
      </c>
      <c r="S7" s="56" t="str">
        <f t="shared" si="9"/>
        <v>昼</v>
      </c>
      <c r="T7" s="56" t="str">
        <f t="shared" si="9"/>
        <v>○</v>
      </c>
      <c r="U7" s="56" t="str">
        <f t="shared" si="9"/>
        <v>○</v>
      </c>
      <c r="V7" s="56" t="str">
        <f t="shared" si="9"/>
        <v>お</v>
      </c>
      <c r="W7" s="56" t="str">
        <f t="shared" si="9"/>
        <v/>
      </c>
      <c r="X7" s="56" t="str">
        <f t="shared" si="9"/>
        <v/>
      </c>
      <c r="Y7" s="56" t="str">
        <f t="shared" si="9"/>
        <v/>
      </c>
      <c r="Z7" s="56" t="str">
        <f t="shared" si="9"/>
        <v>昼</v>
      </c>
      <c r="AA7" s="56" t="str">
        <f t="shared" si="9"/>
        <v>○</v>
      </c>
      <c r="AB7" s="56" t="str">
        <f t="shared" si="9"/>
        <v>○</v>
      </c>
      <c r="AC7" s="56" t="str">
        <f t="shared" si="9"/>
        <v>お</v>
      </c>
      <c r="AD7" s="56" t="str">
        <f t="shared" si="9"/>
        <v/>
      </c>
      <c r="AE7" s="56" t="str">
        <f t="shared" si="9"/>
        <v/>
      </c>
      <c r="AF7" s="56" t="str">
        <f t="shared" si="9"/>
        <v/>
      </c>
      <c r="AG7" s="56" t="str">
        <f t="shared" si="9"/>
        <v>昼</v>
      </c>
      <c r="AH7" s="56" t="str">
        <f t="shared" si="9"/>
        <v>○</v>
      </c>
      <c r="AI7" s="56" t="str">
        <f t="shared" si="9"/>
        <v>○</v>
      </c>
      <c r="AJ7" s="56" t="str">
        <f t="shared" si="9"/>
        <v>お</v>
      </c>
      <c r="AK7" s="56" t="str">
        <f t="shared" si="9"/>
        <v/>
      </c>
      <c r="AL7" s="56" t="str">
        <f t="shared" si="9"/>
        <v/>
      </c>
      <c r="AM7" s="56" t="str">
        <f t="shared" si="9"/>
        <v/>
      </c>
      <c r="AN7" s="56" t="str">
        <f t="shared" si="9"/>
        <v>昼</v>
      </c>
      <c r="AO7" s="56" t="str">
        <f t="shared" si="9"/>
        <v>○</v>
      </c>
      <c r="AP7" s="56" t="str">
        <f t="shared" si="9"/>
        <v>○</v>
      </c>
      <c r="AQ7" s="56" t="str">
        <f t="shared" si="9"/>
        <v>お</v>
      </c>
      <c r="AR7" s="56">
        <f t="shared" si="3"/>
        <v>4</v>
      </c>
      <c r="AS7" s="56">
        <f t="shared" si="4"/>
        <v>10</v>
      </c>
      <c r="AT7" s="56">
        <f t="shared" si="5"/>
        <v>5</v>
      </c>
      <c r="AU7" s="56" t="str">
        <f t="shared" si="6"/>
        <v/>
      </c>
      <c r="AV7" s="56">
        <f t="shared" si="7"/>
        <v>19</v>
      </c>
      <c r="AW7" s="56" t="s">
        <v>330</v>
      </c>
      <c r="AX7" s="56" t="s">
        <v>335</v>
      </c>
      <c r="AY7" s="59">
        <v>8039457095</v>
      </c>
      <c r="AZ7" s="56" t="s">
        <v>336</v>
      </c>
      <c r="BA7" s="59">
        <v>8039162381</v>
      </c>
      <c r="BB7" s="66" t="s">
        <v>337</v>
      </c>
      <c r="BC7" s="56">
        <v>3</v>
      </c>
      <c r="BD7" s="88"/>
      <c r="BE7" s="61"/>
      <c r="BF7" s="55" t="s">
        <v>338</v>
      </c>
    </row>
    <row r="8" spans="1:58" s="54" customFormat="1" ht="24" customHeight="1" x14ac:dyDescent="0.45">
      <c r="A8" s="72">
        <v>4</v>
      </c>
      <c r="B8" s="75" t="s">
        <v>339</v>
      </c>
      <c r="C8" s="57"/>
      <c r="D8" s="57"/>
      <c r="E8" s="57"/>
      <c r="F8" s="57"/>
      <c r="G8" s="57"/>
      <c r="H8" s="57"/>
      <c r="I8" s="57"/>
      <c r="J8" s="57"/>
      <c r="K8" s="57"/>
      <c r="L8" s="57"/>
      <c r="M8" s="56"/>
      <c r="N8" s="56"/>
      <c r="O8" s="56"/>
      <c r="P8" s="56"/>
      <c r="Q8" s="56"/>
      <c r="R8" s="56"/>
      <c r="S8" s="56"/>
      <c r="T8" s="56"/>
      <c r="U8" s="56"/>
      <c r="V8" s="56"/>
      <c r="W8" s="56"/>
      <c r="X8" s="56"/>
      <c r="Y8" s="56"/>
      <c r="Z8" s="56"/>
      <c r="AA8" s="56"/>
      <c r="AB8" s="56"/>
      <c r="AC8" s="56"/>
      <c r="AD8" s="56"/>
      <c r="AE8" s="56"/>
      <c r="AF8" s="56"/>
      <c r="AG8" s="56"/>
      <c r="AH8" s="56"/>
      <c r="AI8" s="56"/>
      <c r="AJ8" s="56"/>
      <c r="AL8" s="56"/>
      <c r="AM8" s="56"/>
      <c r="AN8" s="56"/>
      <c r="AO8" s="56"/>
      <c r="AP8" s="56"/>
      <c r="AQ8" s="56"/>
      <c r="AR8" s="56" t="str">
        <f t="shared" si="3"/>
        <v/>
      </c>
      <c r="AS8" s="56" t="str">
        <f t="shared" si="4"/>
        <v/>
      </c>
      <c r="AT8" s="56" t="str">
        <f t="shared" si="5"/>
        <v/>
      </c>
      <c r="AU8" s="56" t="str">
        <f t="shared" si="6"/>
        <v/>
      </c>
      <c r="AV8" s="56" t="str">
        <f t="shared" si="7"/>
        <v/>
      </c>
      <c r="AW8" s="56" t="s">
        <v>323</v>
      </c>
      <c r="AX8" s="56" t="s">
        <v>340</v>
      </c>
      <c r="AY8" s="59">
        <v>9037963062</v>
      </c>
      <c r="AZ8" s="56" t="s">
        <v>341</v>
      </c>
      <c r="BA8" s="59">
        <v>9075873470</v>
      </c>
      <c r="BB8" s="56" t="s">
        <v>326</v>
      </c>
      <c r="BC8" s="56">
        <v>3</v>
      </c>
      <c r="BD8" s="88"/>
      <c r="BE8" s="53"/>
      <c r="BF8" s="55"/>
    </row>
    <row r="9" spans="1:58" s="54" customFormat="1" ht="24" customHeight="1" x14ac:dyDescent="0.45">
      <c r="A9" s="72">
        <v>5</v>
      </c>
      <c r="B9" s="57" t="s">
        <v>342</v>
      </c>
      <c r="C9" s="57"/>
      <c r="D9" s="57"/>
      <c r="E9" s="57"/>
      <c r="F9" s="57"/>
      <c r="G9" s="57"/>
      <c r="H9" s="57"/>
      <c r="I9" s="57"/>
      <c r="J9" s="57" t="str">
        <f>IF(COUNTA(C9:I9)=0,"",COUNTA(C9:I9))</f>
        <v/>
      </c>
      <c r="K9" s="57"/>
      <c r="L9" s="57"/>
      <c r="M9" s="56" t="str">
        <f>IF(M$4="火","昼",IF(M$4="水","○",IF(M$4="木","夕","")))</f>
        <v/>
      </c>
      <c r="N9" s="56" t="str">
        <f t="shared" ref="N9:AQ9" si="10">IF(N$4="火","昼",IF(N$4="水","○",IF(N$4="木","夕","")))</f>
        <v/>
      </c>
      <c r="O9" s="56" t="str">
        <f t="shared" si="10"/>
        <v/>
      </c>
      <c r="P9" s="56" t="str">
        <f t="shared" si="10"/>
        <v>昼</v>
      </c>
      <c r="Q9" s="56" t="str">
        <f t="shared" si="10"/>
        <v>○</v>
      </c>
      <c r="R9" s="56" t="str">
        <f t="shared" si="10"/>
        <v>夕</v>
      </c>
      <c r="S9" s="56" t="str">
        <f t="shared" si="10"/>
        <v/>
      </c>
      <c r="T9" s="56" t="str">
        <f t="shared" si="10"/>
        <v/>
      </c>
      <c r="U9" s="56" t="str">
        <f t="shared" si="10"/>
        <v/>
      </c>
      <c r="V9" s="56" t="str">
        <f t="shared" si="10"/>
        <v/>
      </c>
      <c r="W9" s="56" t="str">
        <f t="shared" si="10"/>
        <v>昼</v>
      </c>
      <c r="X9" s="56" t="str">
        <f t="shared" si="10"/>
        <v>○</v>
      </c>
      <c r="Y9" s="56" t="str">
        <f t="shared" si="10"/>
        <v>夕</v>
      </c>
      <c r="Z9" s="56" t="str">
        <f t="shared" si="10"/>
        <v/>
      </c>
      <c r="AA9" s="56" t="str">
        <f t="shared" si="10"/>
        <v/>
      </c>
      <c r="AB9" s="56" t="str">
        <f t="shared" si="10"/>
        <v/>
      </c>
      <c r="AC9" s="56" t="str">
        <f t="shared" si="10"/>
        <v/>
      </c>
      <c r="AD9" s="56" t="str">
        <f t="shared" si="10"/>
        <v>昼</v>
      </c>
      <c r="AE9" s="56" t="str">
        <f t="shared" si="10"/>
        <v>○</v>
      </c>
      <c r="AF9" s="56" t="str">
        <f t="shared" si="10"/>
        <v>夕</v>
      </c>
      <c r="AG9" s="56" t="str">
        <f t="shared" si="10"/>
        <v/>
      </c>
      <c r="AH9" s="56" t="str">
        <f t="shared" si="10"/>
        <v/>
      </c>
      <c r="AI9" s="56" t="str">
        <f t="shared" si="10"/>
        <v/>
      </c>
      <c r="AJ9" s="56" t="str">
        <f t="shared" si="10"/>
        <v/>
      </c>
      <c r="AK9" s="56" t="str">
        <f t="shared" si="10"/>
        <v>昼</v>
      </c>
      <c r="AL9" s="56" t="str">
        <f t="shared" si="10"/>
        <v>○</v>
      </c>
      <c r="AM9" s="56" t="str">
        <f t="shared" si="10"/>
        <v>夕</v>
      </c>
      <c r="AN9" s="56" t="str">
        <f t="shared" si="10"/>
        <v/>
      </c>
      <c r="AO9" s="56" t="str">
        <f t="shared" si="10"/>
        <v/>
      </c>
      <c r="AP9" s="56" t="str">
        <f t="shared" si="10"/>
        <v/>
      </c>
      <c r="AQ9" s="56" t="str">
        <f t="shared" si="10"/>
        <v/>
      </c>
      <c r="AR9" s="56">
        <f t="shared" si="3"/>
        <v>4</v>
      </c>
      <c r="AS9" s="56">
        <f t="shared" si="4"/>
        <v>4</v>
      </c>
      <c r="AT9" s="56" t="str">
        <f t="shared" si="5"/>
        <v/>
      </c>
      <c r="AU9" s="56">
        <f t="shared" si="6"/>
        <v>4</v>
      </c>
      <c r="AV9" s="56">
        <f t="shared" si="7"/>
        <v>12</v>
      </c>
      <c r="AW9" s="56" t="s">
        <v>323</v>
      </c>
      <c r="AX9" s="56" t="s">
        <v>343</v>
      </c>
      <c r="AY9" s="59">
        <v>9019466851</v>
      </c>
      <c r="AZ9" s="56" t="s">
        <v>336</v>
      </c>
      <c r="BA9" s="59">
        <v>8039162381</v>
      </c>
      <c r="BB9" s="66" t="s">
        <v>326</v>
      </c>
      <c r="BC9" s="56">
        <v>2</v>
      </c>
      <c r="BD9" s="88">
        <v>46630</v>
      </c>
      <c r="BE9" s="53"/>
      <c r="BF9" s="55"/>
    </row>
    <row r="10" spans="1:58" s="54" customFormat="1" ht="24" customHeight="1" x14ac:dyDescent="0.45">
      <c r="A10" s="72">
        <v>6</v>
      </c>
      <c r="B10" s="57" t="s">
        <v>344</v>
      </c>
      <c r="C10" s="57"/>
      <c r="D10" s="57"/>
      <c r="E10" s="57"/>
      <c r="F10" s="57"/>
      <c r="G10" s="57"/>
      <c r="H10" s="57"/>
      <c r="I10" s="57"/>
      <c r="J10" s="57"/>
      <c r="K10" s="57"/>
      <c r="L10" s="57"/>
      <c r="M10" s="56"/>
      <c r="N10" s="56" t="str">
        <f t="shared" ref="N10:AQ10" si="11">IF(N$4="木","昼",IF(N$4="金","○",IF(N$4="土","夕","")))</f>
        <v/>
      </c>
      <c r="O10" s="56" t="str">
        <f t="shared" si="11"/>
        <v/>
      </c>
      <c r="P10" s="56" t="str">
        <f t="shared" si="11"/>
        <v/>
      </c>
      <c r="Q10" s="56" t="str">
        <f t="shared" si="11"/>
        <v/>
      </c>
      <c r="R10" s="56" t="str">
        <f t="shared" si="11"/>
        <v>昼</v>
      </c>
      <c r="S10" s="56" t="str">
        <f t="shared" si="11"/>
        <v>○</v>
      </c>
      <c r="T10" s="56" t="str">
        <f t="shared" si="11"/>
        <v>夕</v>
      </c>
      <c r="U10" s="56" t="str">
        <f t="shared" si="11"/>
        <v/>
      </c>
      <c r="V10" s="56" t="str">
        <f t="shared" si="11"/>
        <v/>
      </c>
      <c r="W10" s="56" t="str">
        <f t="shared" si="11"/>
        <v/>
      </c>
      <c r="X10" s="56"/>
      <c r="Y10" s="56"/>
      <c r="Z10" s="56"/>
      <c r="AA10" s="56"/>
      <c r="AB10" s="56" t="str">
        <f t="shared" si="11"/>
        <v/>
      </c>
      <c r="AC10" s="56" t="str">
        <f t="shared" si="11"/>
        <v/>
      </c>
      <c r="AD10" s="56" t="str">
        <f t="shared" si="11"/>
        <v/>
      </c>
      <c r="AE10" s="56" t="str">
        <f t="shared" si="11"/>
        <v/>
      </c>
      <c r="AF10" s="56" t="str">
        <f t="shared" si="11"/>
        <v>昼</v>
      </c>
      <c r="AG10" s="56" t="str">
        <f t="shared" si="11"/>
        <v>○</v>
      </c>
      <c r="AH10" s="56" t="str">
        <f t="shared" si="11"/>
        <v>夕</v>
      </c>
      <c r="AI10" s="56" t="str">
        <f t="shared" si="11"/>
        <v/>
      </c>
      <c r="AJ10" s="56" t="str">
        <f t="shared" si="11"/>
        <v/>
      </c>
      <c r="AK10" s="56" t="str">
        <f t="shared" si="11"/>
        <v/>
      </c>
      <c r="AL10" s="56"/>
      <c r="AM10" s="56"/>
      <c r="AN10" s="56"/>
      <c r="AO10" s="56"/>
      <c r="AP10" s="56" t="str">
        <f t="shared" si="11"/>
        <v/>
      </c>
      <c r="AQ10" s="56" t="str">
        <f t="shared" si="11"/>
        <v/>
      </c>
      <c r="AR10" s="56">
        <f t="shared" si="3"/>
        <v>2</v>
      </c>
      <c r="AS10" s="56">
        <f t="shared" si="4"/>
        <v>2</v>
      </c>
      <c r="AT10" s="56" t="str">
        <f t="shared" si="5"/>
        <v/>
      </c>
      <c r="AU10" s="56">
        <f t="shared" si="6"/>
        <v>2</v>
      </c>
      <c r="AV10" s="56">
        <f t="shared" si="7"/>
        <v>6</v>
      </c>
      <c r="AW10" s="56" t="s">
        <v>323</v>
      </c>
      <c r="AX10" s="56" t="s">
        <v>345</v>
      </c>
      <c r="AY10" s="59">
        <v>9068975316</v>
      </c>
      <c r="AZ10" s="56" t="s">
        <v>346</v>
      </c>
      <c r="BA10" s="59">
        <v>8033750538</v>
      </c>
      <c r="BB10" s="66" t="s">
        <v>347</v>
      </c>
      <c r="BC10" s="56">
        <v>2</v>
      </c>
      <c r="BD10" s="66"/>
      <c r="BE10" s="53"/>
      <c r="BF10" s="55"/>
    </row>
    <row r="11" spans="1:58" s="54" customFormat="1" ht="24" customHeight="1" x14ac:dyDescent="0.45">
      <c r="A11" s="72">
        <v>7</v>
      </c>
      <c r="B11" s="57" t="s">
        <v>348</v>
      </c>
      <c r="C11" s="57"/>
      <c r="D11" s="57"/>
      <c r="E11" s="57"/>
      <c r="F11" s="57"/>
      <c r="G11" s="57"/>
      <c r="H11" s="57"/>
      <c r="I11" s="57"/>
      <c r="J11" s="57"/>
      <c r="K11" s="57"/>
      <c r="L11" s="57"/>
      <c r="M11" s="56" t="s">
        <v>319</v>
      </c>
      <c r="N11" s="56" t="s">
        <v>319</v>
      </c>
      <c r="O11" s="56" t="s">
        <v>319</v>
      </c>
      <c r="P11" s="56" t="s">
        <v>319</v>
      </c>
      <c r="Q11" s="56" t="s">
        <v>319</v>
      </c>
      <c r="R11" s="56" t="s">
        <v>319</v>
      </c>
      <c r="S11" s="56" t="s">
        <v>319</v>
      </c>
      <c r="T11" s="56" t="s">
        <v>319</v>
      </c>
      <c r="U11" s="56" t="s">
        <v>319</v>
      </c>
      <c r="V11" s="56" t="s">
        <v>319</v>
      </c>
      <c r="W11" s="56" t="s">
        <v>319</v>
      </c>
      <c r="X11" s="56" t="s">
        <v>319</v>
      </c>
      <c r="Y11" s="56" t="s">
        <v>319</v>
      </c>
      <c r="Z11" s="56" t="s">
        <v>319</v>
      </c>
      <c r="AA11" s="56" t="s">
        <v>319</v>
      </c>
      <c r="AB11" s="56" t="s">
        <v>319</v>
      </c>
      <c r="AC11" s="56" t="s">
        <v>319</v>
      </c>
      <c r="AD11" s="56" t="s">
        <v>319</v>
      </c>
      <c r="AE11" s="56" t="s">
        <v>319</v>
      </c>
      <c r="AF11" s="56" t="s">
        <v>319</v>
      </c>
      <c r="AG11" s="56" t="s">
        <v>319</v>
      </c>
      <c r="AH11" s="56" t="s">
        <v>319</v>
      </c>
      <c r="AI11" s="56" t="s">
        <v>319</v>
      </c>
      <c r="AJ11" s="56" t="s">
        <v>319</v>
      </c>
      <c r="AK11" s="56" t="s">
        <v>319</v>
      </c>
      <c r="AL11" s="56" t="s">
        <v>319</v>
      </c>
      <c r="AM11" s="56" t="s">
        <v>319</v>
      </c>
      <c r="AN11" s="56" t="s">
        <v>319</v>
      </c>
      <c r="AO11" s="56" t="s">
        <v>319</v>
      </c>
      <c r="AP11" s="56" t="s">
        <v>319</v>
      </c>
      <c r="AQ11" s="56" t="s">
        <v>319</v>
      </c>
      <c r="AR11" s="56" t="str">
        <f t="shared" si="3"/>
        <v/>
      </c>
      <c r="AS11" s="56">
        <f t="shared" si="4"/>
        <v>31</v>
      </c>
      <c r="AT11" s="56" t="str">
        <f t="shared" si="5"/>
        <v/>
      </c>
      <c r="AU11" s="56" t="str">
        <f t="shared" si="6"/>
        <v/>
      </c>
      <c r="AV11" s="56">
        <f t="shared" si="7"/>
        <v>31</v>
      </c>
      <c r="AW11" s="56" t="s">
        <v>323</v>
      </c>
      <c r="AX11" s="56" t="s">
        <v>349</v>
      </c>
      <c r="AY11" s="59">
        <v>9013413414</v>
      </c>
      <c r="AZ11" s="56" t="s">
        <v>350</v>
      </c>
      <c r="BA11" s="59">
        <v>9068641724</v>
      </c>
      <c r="BB11" s="66" t="s">
        <v>337</v>
      </c>
      <c r="BC11" s="56">
        <v>3</v>
      </c>
      <c r="BD11" s="88"/>
      <c r="BE11" s="53"/>
      <c r="BF11" s="55"/>
    </row>
    <row r="12" spans="1:58" s="54" customFormat="1" ht="24" customHeight="1" x14ac:dyDescent="0.45">
      <c r="A12" s="72">
        <v>8</v>
      </c>
      <c r="B12" s="57" t="s">
        <v>351</v>
      </c>
      <c r="C12" s="57"/>
      <c r="D12" s="57"/>
      <c r="E12" s="57"/>
      <c r="F12" s="57"/>
      <c r="G12" s="57"/>
      <c r="H12" s="57"/>
      <c r="I12" s="57"/>
      <c r="J12" s="57"/>
      <c r="K12" s="57"/>
      <c r="L12" s="57"/>
      <c r="M12" s="56" t="str">
        <f>IF(M$4="土","昼",IF(M$4="日","お",""))</f>
        <v>昼</v>
      </c>
      <c r="N12" s="56" t="str">
        <f t="shared" ref="N12:AQ12" si="12">IF(N$4="土","昼",IF(N$4="日","お",""))</f>
        <v>お</v>
      </c>
      <c r="O12" s="56" t="str">
        <f t="shared" si="12"/>
        <v/>
      </c>
      <c r="P12" s="56" t="str">
        <f t="shared" si="12"/>
        <v/>
      </c>
      <c r="Q12" s="56" t="str">
        <f t="shared" si="12"/>
        <v/>
      </c>
      <c r="R12" s="56" t="str">
        <f t="shared" si="12"/>
        <v/>
      </c>
      <c r="S12" s="56" t="str">
        <f t="shared" si="12"/>
        <v/>
      </c>
      <c r="T12" s="56" t="str">
        <f t="shared" si="12"/>
        <v>昼</v>
      </c>
      <c r="U12" s="56" t="str">
        <f t="shared" si="12"/>
        <v>お</v>
      </c>
      <c r="V12" s="56" t="str">
        <f t="shared" si="12"/>
        <v/>
      </c>
      <c r="W12" s="56" t="str">
        <f t="shared" si="12"/>
        <v/>
      </c>
      <c r="X12" s="56" t="str">
        <f t="shared" si="12"/>
        <v/>
      </c>
      <c r="Y12" s="56" t="str">
        <f t="shared" si="12"/>
        <v/>
      </c>
      <c r="Z12" s="56" t="str">
        <f t="shared" si="12"/>
        <v/>
      </c>
      <c r="AA12" s="56" t="str">
        <f t="shared" si="12"/>
        <v>昼</v>
      </c>
      <c r="AB12" s="56" t="str">
        <f t="shared" si="12"/>
        <v>お</v>
      </c>
      <c r="AC12" s="56" t="str">
        <f t="shared" si="12"/>
        <v/>
      </c>
      <c r="AD12" s="56" t="str">
        <f t="shared" si="12"/>
        <v/>
      </c>
      <c r="AE12" s="56" t="str">
        <f t="shared" si="12"/>
        <v/>
      </c>
      <c r="AF12" s="56" t="str">
        <f t="shared" si="12"/>
        <v/>
      </c>
      <c r="AG12" s="56" t="str">
        <f t="shared" si="12"/>
        <v/>
      </c>
      <c r="AH12" s="56" t="str">
        <f t="shared" si="12"/>
        <v>昼</v>
      </c>
      <c r="AI12" s="56" t="str">
        <f t="shared" si="12"/>
        <v>お</v>
      </c>
      <c r="AJ12" s="56" t="str">
        <f t="shared" si="12"/>
        <v/>
      </c>
      <c r="AK12" s="56" t="str">
        <f t="shared" si="12"/>
        <v/>
      </c>
      <c r="AL12" s="56" t="str">
        <f t="shared" si="12"/>
        <v/>
      </c>
      <c r="AM12" s="56" t="str">
        <f t="shared" si="12"/>
        <v/>
      </c>
      <c r="AN12" s="56" t="s">
        <v>352</v>
      </c>
      <c r="AO12" s="56" t="s">
        <v>319</v>
      </c>
      <c r="AP12" s="56" t="s">
        <v>319</v>
      </c>
      <c r="AQ12" s="56" t="str">
        <f t="shared" si="12"/>
        <v/>
      </c>
      <c r="AR12" s="56">
        <f t="shared" si="3"/>
        <v>5</v>
      </c>
      <c r="AS12" s="56">
        <f t="shared" si="4"/>
        <v>2</v>
      </c>
      <c r="AT12" s="56">
        <f t="shared" si="5"/>
        <v>4</v>
      </c>
      <c r="AU12" s="56" t="str">
        <f t="shared" si="6"/>
        <v/>
      </c>
      <c r="AV12" s="56">
        <f t="shared" si="7"/>
        <v>11</v>
      </c>
      <c r="AW12" s="56" t="s">
        <v>323</v>
      </c>
      <c r="AX12" s="56" t="s">
        <v>353</v>
      </c>
      <c r="AY12" s="59">
        <v>9097873561</v>
      </c>
      <c r="AZ12" s="56" t="s">
        <v>346</v>
      </c>
      <c r="BA12" s="59">
        <v>8033750537</v>
      </c>
      <c r="BB12" s="66" t="s">
        <v>347</v>
      </c>
      <c r="BC12" s="56">
        <v>1</v>
      </c>
      <c r="BD12" s="88"/>
      <c r="BE12" s="53"/>
      <c r="BF12" s="55"/>
    </row>
    <row r="13" spans="1:58" s="54" customFormat="1" ht="24" customHeight="1" x14ac:dyDescent="0.45">
      <c r="A13" s="72">
        <v>9</v>
      </c>
      <c r="B13" s="57" t="s">
        <v>354</v>
      </c>
      <c r="C13" s="57"/>
      <c r="D13" s="57"/>
      <c r="E13" s="57"/>
      <c r="F13" s="57"/>
      <c r="G13" s="57"/>
      <c r="H13" s="57"/>
      <c r="I13" s="57"/>
      <c r="J13" s="57"/>
      <c r="K13" s="57"/>
      <c r="L13" s="57"/>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t="str">
        <f t="shared" si="3"/>
        <v/>
      </c>
      <c r="AS13" s="56" t="str">
        <f t="shared" si="4"/>
        <v/>
      </c>
      <c r="AT13" s="56" t="str">
        <f t="shared" si="5"/>
        <v/>
      </c>
      <c r="AU13" s="56" t="str">
        <f t="shared" si="6"/>
        <v/>
      </c>
      <c r="AV13" s="56" t="str">
        <f t="shared" si="7"/>
        <v/>
      </c>
      <c r="AW13" s="56" t="s">
        <v>323</v>
      </c>
      <c r="AX13" s="56" t="s">
        <v>355</v>
      </c>
      <c r="AY13" s="59">
        <v>9094067262</v>
      </c>
      <c r="AZ13" s="56" t="s">
        <v>356</v>
      </c>
      <c r="BA13" s="59">
        <v>7012498633</v>
      </c>
      <c r="BB13" s="66" t="s">
        <v>326</v>
      </c>
      <c r="BC13" s="56">
        <v>2</v>
      </c>
      <c r="BD13" s="88"/>
      <c r="BE13" s="53"/>
      <c r="BF13" s="55"/>
    </row>
    <row r="14" spans="1:58" s="54" customFormat="1" ht="24" customHeight="1" x14ac:dyDescent="0.45">
      <c r="A14" s="72">
        <v>10</v>
      </c>
      <c r="B14" s="57" t="s">
        <v>357</v>
      </c>
      <c r="C14" s="57"/>
      <c r="D14" s="57"/>
      <c r="E14" s="57"/>
      <c r="F14" s="57"/>
      <c r="G14" s="57"/>
      <c r="H14" s="57"/>
      <c r="I14" s="57"/>
      <c r="J14" s="57"/>
      <c r="K14" s="57"/>
      <c r="L14" s="57"/>
      <c r="M14" s="56"/>
      <c r="N14" s="56"/>
      <c r="O14" s="56" t="s">
        <v>352</v>
      </c>
      <c r="P14" s="56" t="s">
        <v>319</v>
      </c>
      <c r="Q14" s="56" t="s">
        <v>319</v>
      </c>
      <c r="R14" s="56" t="s">
        <v>319</v>
      </c>
      <c r="S14" s="56" t="s">
        <v>319</v>
      </c>
      <c r="T14" s="56" t="s">
        <v>319</v>
      </c>
      <c r="U14" s="56" t="s">
        <v>319</v>
      </c>
      <c r="V14" s="56" t="s">
        <v>319</v>
      </c>
      <c r="W14" s="56" t="s">
        <v>319</v>
      </c>
      <c r="X14" s="56" t="s">
        <v>319</v>
      </c>
      <c r="Y14" s="56" t="s">
        <v>320</v>
      </c>
      <c r="Z14" s="56"/>
      <c r="AA14" s="56"/>
      <c r="AB14" s="56"/>
      <c r="AC14" s="56" t="s">
        <v>352</v>
      </c>
      <c r="AD14" s="56" t="s">
        <v>319</v>
      </c>
      <c r="AE14" s="56" t="s">
        <v>319</v>
      </c>
      <c r="AF14" s="56" t="s">
        <v>319</v>
      </c>
      <c r="AG14" s="56" t="s">
        <v>319</v>
      </c>
      <c r="AH14" s="56" t="s">
        <v>319</v>
      </c>
      <c r="AI14" s="56" t="s">
        <v>319</v>
      </c>
      <c r="AJ14" s="56" t="s">
        <v>319</v>
      </c>
      <c r="AK14" s="56" t="s">
        <v>319</v>
      </c>
      <c r="AL14" s="56" t="s">
        <v>319</v>
      </c>
      <c r="AM14" s="56" t="s">
        <v>320</v>
      </c>
      <c r="AN14" s="64"/>
      <c r="AO14" s="64"/>
      <c r="AP14" s="64"/>
      <c r="AQ14" s="56"/>
      <c r="AR14" s="56">
        <f t="shared" si="3"/>
        <v>2</v>
      </c>
      <c r="AS14" s="56">
        <f t="shared" si="4"/>
        <v>18</v>
      </c>
      <c r="AT14" s="56">
        <f t="shared" si="5"/>
        <v>2</v>
      </c>
      <c r="AU14" s="56" t="str">
        <f t="shared" si="6"/>
        <v/>
      </c>
      <c r="AV14" s="56">
        <f t="shared" si="7"/>
        <v>22</v>
      </c>
      <c r="AW14" s="56" t="s">
        <v>330</v>
      </c>
      <c r="AX14" s="56" t="s">
        <v>358</v>
      </c>
      <c r="AY14" s="59">
        <v>8035335927</v>
      </c>
      <c r="AZ14" s="56" t="s">
        <v>359</v>
      </c>
      <c r="BA14" s="59">
        <v>9082902739</v>
      </c>
      <c r="BB14" s="66" t="s">
        <v>360</v>
      </c>
      <c r="BC14" s="56">
        <v>3</v>
      </c>
      <c r="BD14" s="88"/>
      <c r="BE14" s="53"/>
      <c r="BF14" s="55"/>
    </row>
    <row r="15" spans="1:58" s="54" customFormat="1" ht="24" customHeight="1" x14ac:dyDescent="0.45">
      <c r="A15" s="72">
        <v>11</v>
      </c>
      <c r="B15" s="57" t="s">
        <v>361</v>
      </c>
      <c r="C15" s="57"/>
      <c r="D15" s="57"/>
      <c r="E15" s="57"/>
      <c r="F15" s="57"/>
      <c r="G15" s="57"/>
      <c r="H15" s="57"/>
      <c r="I15" s="57"/>
      <c r="J15" s="57"/>
      <c r="K15" s="57"/>
      <c r="L15" s="57"/>
      <c r="M15" s="56" t="s">
        <v>319</v>
      </c>
      <c r="N15" s="56" t="s">
        <v>319</v>
      </c>
      <c r="O15" s="56" t="s">
        <v>319</v>
      </c>
      <c r="P15" s="56" t="s">
        <v>319</v>
      </c>
      <c r="Q15" s="56" t="s">
        <v>319</v>
      </c>
      <c r="R15" s="56" t="s">
        <v>319</v>
      </c>
      <c r="S15" s="56" t="s">
        <v>319</v>
      </c>
      <c r="T15" s="56" t="s">
        <v>319</v>
      </c>
      <c r="U15" s="56" t="s">
        <v>319</v>
      </c>
      <c r="V15" s="56" t="s">
        <v>319</v>
      </c>
      <c r="W15" s="56" t="s">
        <v>319</v>
      </c>
      <c r="X15" s="56" t="s">
        <v>319</v>
      </c>
      <c r="Y15" s="56" t="s">
        <v>319</v>
      </c>
      <c r="Z15" s="56" t="s">
        <v>319</v>
      </c>
      <c r="AA15" s="56" t="s">
        <v>319</v>
      </c>
      <c r="AB15" s="56" t="s">
        <v>319</v>
      </c>
      <c r="AC15" s="56" t="s">
        <v>319</v>
      </c>
      <c r="AD15" s="56" t="s">
        <v>319</v>
      </c>
      <c r="AE15" s="56" t="s">
        <v>319</v>
      </c>
      <c r="AF15" s="56" t="s">
        <v>319</v>
      </c>
      <c r="AG15" s="56" t="s">
        <v>319</v>
      </c>
      <c r="AH15" s="56" t="s">
        <v>319</v>
      </c>
      <c r="AI15" s="56" t="s">
        <v>319</v>
      </c>
      <c r="AJ15" s="56" t="s">
        <v>319</v>
      </c>
      <c r="AK15" s="56" t="s">
        <v>319</v>
      </c>
      <c r="AL15" s="56" t="s">
        <v>319</v>
      </c>
      <c r="AM15" s="56" t="s">
        <v>319</v>
      </c>
      <c r="AN15" s="56" t="s">
        <v>319</v>
      </c>
      <c r="AO15" s="56" t="s">
        <v>319</v>
      </c>
      <c r="AP15" s="56" t="s">
        <v>319</v>
      </c>
      <c r="AQ15" s="56" t="s">
        <v>319</v>
      </c>
      <c r="AR15" s="56" t="str">
        <f t="shared" si="3"/>
        <v/>
      </c>
      <c r="AS15" s="56">
        <f t="shared" si="4"/>
        <v>31</v>
      </c>
      <c r="AT15" s="56" t="str">
        <f t="shared" si="5"/>
        <v/>
      </c>
      <c r="AU15" s="56" t="str">
        <f t="shared" si="6"/>
        <v/>
      </c>
      <c r="AV15" s="56">
        <f t="shared" si="7"/>
        <v>31</v>
      </c>
      <c r="AW15" s="56" t="s">
        <v>323</v>
      </c>
      <c r="AX15" s="56" t="s">
        <v>362</v>
      </c>
      <c r="AY15" s="59">
        <v>9075855328</v>
      </c>
      <c r="AZ15" s="56" t="s">
        <v>336</v>
      </c>
      <c r="BA15" s="59">
        <v>8039162381</v>
      </c>
      <c r="BB15" s="66" t="s">
        <v>337</v>
      </c>
      <c r="BC15" s="56">
        <v>1</v>
      </c>
      <c r="BD15" s="88"/>
      <c r="BE15" s="53"/>
      <c r="BF15" s="55"/>
    </row>
    <row r="16" spans="1:58" s="54" customFormat="1" ht="24" customHeight="1" x14ac:dyDescent="0.45">
      <c r="A16" s="72"/>
      <c r="B16" s="57" t="s">
        <v>535</v>
      </c>
      <c r="C16" s="57"/>
      <c r="D16" s="57"/>
      <c r="E16" s="57"/>
      <c r="F16" s="57"/>
      <c r="G16" s="57"/>
      <c r="H16" s="57"/>
      <c r="I16" s="57"/>
      <c r="J16" s="57"/>
      <c r="K16" s="57"/>
      <c r="L16" s="57"/>
      <c r="M16" s="56" t="s">
        <v>319</v>
      </c>
      <c r="N16" s="56" t="s">
        <v>319</v>
      </c>
      <c r="O16" s="56" t="s">
        <v>319</v>
      </c>
      <c r="P16" s="56" t="s">
        <v>319</v>
      </c>
      <c r="Q16" s="56" t="s">
        <v>319</v>
      </c>
      <c r="R16" s="56" t="s">
        <v>319</v>
      </c>
      <c r="S16" s="56" t="s">
        <v>319</v>
      </c>
      <c r="T16" s="56" t="s">
        <v>319</v>
      </c>
      <c r="U16" s="56" t="s">
        <v>319</v>
      </c>
      <c r="V16" s="56" t="s">
        <v>319</v>
      </c>
      <c r="W16" s="56" t="s">
        <v>319</v>
      </c>
      <c r="X16" s="56" t="s">
        <v>319</v>
      </c>
      <c r="Y16" s="56" t="s">
        <v>319</v>
      </c>
      <c r="Z16" s="56" t="s">
        <v>319</v>
      </c>
      <c r="AA16" s="56" t="s">
        <v>319</v>
      </c>
      <c r="AB16" s="56" t="s">
        <v>319</v>
      </c>
      <c r="AC16" s="56" t="s">
        <v>319</v>
      </c>
      <c r="AD16" s="56" t="s">
        <v>319</v>
      </c>
      <c r="AE16" s="56" t="s">
        <v>319</v>
      </c>
      <c r="AF16" s="56" t="s">
        <v>319</v>
      </c>
      <c r="AG16" s="56" t="s">
        <v>319</v>
      </c>
      <c r="AH16" s="56" t="s">
        <v>319</v>
      </c>
      <c r="AI16" s="56" t="s">
        <v>319</v>
      </c>
      <c r="AJ16" s="56" t="s">
        <v>319</v>
      </c>
      <c r="AK16" s="56" t="s">
        <v>319</v>
      </c>
      <c r="AL16" s="56" t="s">
        <v>319</v>
      </c>
      <c r="AM16" s="56" t="s">
        <v>319</v>
      </c>
      <c r="AN16" s="56" t="s">
        <v>319</v>
      </c>
      <c r="AO16" s="56" t="s">
        <v>319</v>
      </c>
      <c r="AP16" s="56" t="s">
        <v>319</v>
      </c>
      <c r="AQ16" s="56" t="s">
        <v>319</v>
      </c>
      <c r="AR16" s="56" t="str">
        <f t="shared" si="3"/>
        <v/>
      </c>
      <c r="AS16" s="56">
        <f t="shared" si="4"/>
        <v>31</v>
      </c>
      <c r="AT16" s="56" t="str">
        <f t="shared" si="5"/>
        <v/>
      </c>
      <c r="AU16" s="56" t="str">
        <f t="shared" si="6"/>
        <v/>
      </c>
      <c r="AV16" s="56">
        <f t="shared" si="7"/>
        <v>31</v>
      </c>
      <c r="AW16" s="56" t="s">
        <v>323</v>
      </c>
      <c r="AX16" s="56" t="s">
        <v>362</v>
      </c>
      <c r="AY16" s="59">
        <v>9075855328</v>
      </c>
      <c r="AZ16" s="56" t="s">
        <v>336</v>
      </c>
      <c r="BA16" s="59">
        <v>8039162381</v>
      </c>
      <c r="BB16" s="66" t="s">
        <v>337</v>
      </c>
      <c r="BC16" s="56">
        <v>1</v>
      </c>
      <c r="BD16" s="88"/>
      <c r="BE16" s="53"/>
      <c r="BF16" s="55"/>
    </row>
    <row r="17" spans="1:58" s="54" customFormat="1" ht="24" customHeight="1" x14ac:dyDescent="0.45">
      <c r="A17" s="72">
        <v>12</v>
      </c>
      <c r="B17" s="57" t="s">
        <v>363</v>
      </c>
      <c r="C17" s="57"/>
      <c r="D17" s="57"/>
      <c r="E17" s="57"/>
      <c r="F17" s="57"/>
      <c r="G17" s="57"/>
      <c r="H17" s="57"/>
      <c r="I17" s="57"/>
      <c r="J17" s="57"/>
      <c r="K17" s="57"/>
      <c r="L17" s="57"/>
      <c r="M17" s="56" t="str">
        <f>IF(M$4="日","昼",IF(M$4="月","お",""))</f>
        <v/>
      </c>
      <c r="N17" s="56" t="str">
        <f t="shared" ref="N17:AQ17" si="13">IF(N$4="日","昼",IF(N$4="月","お",""))</f>
        <v>昼</v>
      </c>
      <c r="O17" s="56" t="str">
        <f t="shared" si="13"/>
        <v>お</v>
      </c>
      <c r="P17" s="56" t="str">
        <f t="shared" si="13"/>
        <v/>
      </c>
      <c r="Q17" s="56" t="str">
        <f t="shared" si="13"/>
        <v/>
      </c>
      <c r="R17" s="56" t="str">
        <f t="shared" si="13"/>
        <v/>
      </c>
      <c r="S17" s="56" t="str">
        <f t="shared" si="13"/>
        <v/>
      </c>
      <c r="T17" s="56" t="str">
        <f t="shared" si="13"/>
        <v/>
      </c>
      <c r="U17" s="56" t="str">
        <f t="shared" si="13"/>
        <v>昼</v>
      </c>
      <c r="V17" s="56" t="str">
        <f t="shared" si="13"/>
        <v>お</v>
      </c>
      <c r="W17" s="56" t="str">
        <f t="shared" si="13"/>
        <v/>
      </c>
      <c r="X17" s="56" t="str">
        <f t="shared" si="13"/>
        <v/>
      </c>
      <c r="Y17" s="56" t="str">
        <f t="shared" si="13"/>
        <v/>
      </c>
      <c r="Z17" s="56" t="str">
        <f t="shared" si="13"/>
        <v/>
      </c>
      <c r="AA17" s="56" t="str">
        <f t="shared" si="13"/>
        <v/>
      </c>
      <c r="AB17" s="56" t="str">
        <f t="shared" si="13"/>
        <v>昼</v>
      </c>
      <c r="AC17" s="56" t="str">
        <f t="shared" si="13"/>
        <v>お</v>
      </c>
      <c r="AD17" s="56" t="str">
        <f t="shared" si="13"/>
        <v/>
      </c>
      <c r="AE17" s="56" t="str">
        <f t="shared" si="13"/>
        <v/>
      </c>
      <c r="AF17" s="56" t="str">
        <f t="shared" si="13"/>
        <v/>
      </c>
      <c r="AG17" s="56" t="str">
        <f t="shared" si="13"/>
        <v/>
      </c>
      <c r="AH17" s="56" t="str">
        <f t="shared" si="13"/>
        <v/>
      </c>
      <c r="AI17" s="56" t="str">
        <f t="shared" si="13"/>
        <v>昼</v>
      </c>
      <c r="AJ17" s="56" t="str">
        <f t="shared" si="13"/>
        <v>お</v>
      </c>
      <c r="AK17" s="56" t="str">
        <f t="shared" si="13"/>
        <v/>
      </c>
      <c r="AL17" s="56" t="str">
        <f t="shared" si="13"/>
        <v/>
      </c>
      <c r="AM17" s="56" t="str">
        <f t="shared" si="13"/>
        <v/>
      </c>
      <c r="AN17" s="56" t="str">
        <f t="shared" si="13"/>
        <v/>
      </c>
      <c r="AO17" s="56" t="str">
        <f t="shared" si="13"/>
        <v/>
      </c>
      <c r="AP17" s="56" t="str">
        <f t="shared" si="13"/>
        <v>昼</v>
      </c>
      <c r="AQ17" s="56" t="str">
        <f t="shared" si="13"/>
        <v>お</v>
      </c>
      <c r="AR17" s="56">
        <f t="shared" si="3"/>
        <v>5</v>
      </c>
      <c r="AS17" s="56" t="str">
        <f t="shared" si="4"/>
        <v/>
      </c>
      <c r="AT17" s="56">
        <f t="shared" si="5"/>
        <v>5</v>
      </c>
      <c r="AU17" s="56" t="str">
        <f t="shared" si="6"/>
        <v/>
      </c>
      <c r="AV17" s="56">
        <f t="shared" si="7"/>
        <v>10</v>
      </c>
      <c r="AW17" s="56" t="s">
        <v>323</v>
      </c>
      <c r="AX17" s="59" t="s">
        <v>364</v>
      </c>
      <c r="AY17" s="59">
        <v>9082937045</v>
      </c>
      <c r="AZ17" s="56" t="s">
        <v>336</v>
      </c>
      <c r="BA17" s="59">
        <v>8039162381</v>
      </c>
      <c r="BB17" s="118" t="s">
        <v>326</v>
      </c>
      <c r="BC17" s="56">
        <v>3</v>
      </c>
      <c r="BD17" s="88"/>
      <c r="BE17" s="61" t="s">
        <v>365</v>
      </c>
      <c r="BF17" s="55" t="s">
        <v>366</v>
      </c>
    </row>
    <row r="18" spans="1:58" s="54" customFormat="1" ht="24" customHeight="1" x14ac:dyDescent="0.45">
      <c r="A18" s="72">
        <v>13</v>
      </c>
      <c r="B18" s="57" t="s">
        <v>378</v>
      </c>
      <c r="C18" s="57"/>
      <c r="D18" s="57"/>
      <c r="E18" s="57"/>
      <c r="F18" s="57"/>
      <c r="G18" s="57"/>
      <c r="H18" s="57"/>
      <c r="I18" s="57"/>
      <c r="J18" s="57"/>
      <c r="K18" s="57"/>
      <c r="L18" s="57"/>
      <c r="M18" s="56" t="str">
        <f>IF(M$4="月","昼",IF(M$4="火","○",IF(M$4="水","○",IF(M$4="木","お",""))))</f>
        <v/>
      </c>
      <c r="N18" s="56" t="str">
        <f t="shared" ref="N18:AQ18" si="14">IF(N$4="月","昼",IF(N$4="火","○",IF(N$4="水","○",IF(N$4="木","お",""))))</f>
        <v/>
      </c>
      <c r="O18" s="56" t="str">
        <f t="shared" si="14"/>
        <v>昼</v>
      </c>
      <c r="P18" s="56" t="str">
        <f t="shared" si="14"/>
        <v>○</v>
      </c>
      <c r="Q18" s="56" t="str">
        <f t="shared" si="14"/>
        <v>○</v>
      </c>
      <c r="R18" s="56" t="str">
        <f t="shared" si="14"/>
        <v>お</v>
      </c>
      <c r="S18" s="56" t="str">
        <f t="shared" si="14"/>
        <v/>
      </c>
      <c r="T18" s="56" t="str">
        <f t="shared" si="14"/>
        <v/>
      </c>
      <c r="U18" s="56" t="str">
        <f t="shared" si="14"/>
        <v/>
      </c>
      <c r="V18" s="56" t="str">
        <f t="shared" si="14"/>
        <v>昼</v>
      </c>
      <c r="W18" s="56" t="str">
        <f t="shared" si="14"/>
        <v>○</v>
      </c>
      <c r="X18" s="56" t="str">
        <f t="shared" si="14"/>
        <v>○</v>
      </c>
      <c r="Y18" s="56" t="str">
        <f t="shared" si="14"/>
        <v>お</v>
      </c>
      <c r="Z18" s="56" t="str">
        <f t="shared" si="14"/>
        <v/>
      </c>
      <c r="AA18" s="56" t="str">
        <f t="shared" si="14"/>
        <v/>
      </c>
      <c r="AB18" s="56" t="str">
        <f t="shared" si="14"/>
        <v/>
      </c>
      <c r="AC18" s="56" t="str">
        <f t="shared" si="14"/>
        <v>昼</v>
      </c>
      <c r="AD18" s="56" t="str">
        <f t="shared" si="14"/>
        <v>○</v>
      </c>
      <c r="AE18" s="56" t="str">
        <f t="shared" si="14"/>
        <v>○</v>
      </c>
      <c r="AF18" s="56" t="str">
        <f t="shared" si="14"/>
        <v>お</v>
      </c>
      <c r="AG18" s="56" t="str">
        <f t="shared" si="14"/>
        <v/>
      </c>
      <c r="AH18" s="56" t="str">
        <f t="shared" si="14"/>
        <v/>
      </c>
      <c r="AI18" s="56" t="str">
        <f t="shared" si="14"/>
        <v/>
      </c>
      <c r="AJ18" s="56" t="str">
        <f t="shared" si="14"/>
        <v>昼</v>
      </c>
      <c r="AK18" s="56" t="str">
        <f t="shared" si="14"/>
        <v>○</v>
      </c>
      <c r="AL18" s="56" t="str">
        <f t="shared" si="14"/>
        <v>○</v>
      </c>
      <c r="AM18" s="56" t="str">
        <f t="shared" si="14"/>
        <v>お</v>
      </c>
      <c r="AN18" s="56" t="str">
        <f t="shared" si="14"/>
        <v/>
      </c>
      <c r="AO18" s="56" t="str">
        <f t="shared" si="14"/>
        <v/>
      </c>
      <c r="AP18" s="56" t="str">
        <f t="shared" si="14"/>
        <v/>
      </c>
      <c r="AQ18" s="56" t="str">
        <f t="shared" si="14"/>
        <v>昼</v>
      </c>
      <c r="AR18" s="56">
        <f t="shared" si="3"/>
        <v>5</v>
      </c>
      <c r="AS18" s="56">
        <f t="shared" si="4"/>
        <v>8</v>
      </c>
      <c r="AT18" s="56">
        <f t="shared" si="5"/>
        <v>4</v>
      </c>
      <c r="AU18" s="56" t="str">
        <f t="shared" si="6"/>
        <v/>
      </c>
      <c r="AV18" s="56">
        <f t="shared" si="7"/>
        <v>17</v>
      </c>
      <c r="AW18" s="56" t="s">
        <v>323</v>
      </c>
      <c r="AX18" s="56" t="s">
        <v>379</v>
      </c>
      <c r="AY18" s="59">
        <v>9019438341</v>
      </c>
      <c r="AZ18" s="56" t="s">
        <v>380</v>
      </c>
      <c r="BA18" s="59">
        <v>8033750538</v>
      </c>
      <c r="BB18" s="66" t="s">
        <v>543</v>
      </c>
      <c r="BC18" s="56">
        <v>3</v>
      </c>
      <c r="BD18" s="88"/>
      <c r="BE18" s="61"/>
      <c r="BF18" s="55"/>
    </row>
    <row r="19" spans="1:58" s="54" customFormat="1" ht="24" customHeight="1" x14ac:dyDescent="0.45">
      <c r="A19" s="72">
        <v>14</v>
      </c>
      <c r="B19" s="57" t="s">
        <v>367</v>
      </c>
      <c r="C19" s="57"/>
      <c r="D19" s="57"/>
      <c r="E19" s="57"/>
      <c r="F19" s="57"/>
      <c r="G19" s="57"/>
      <c r="H19" s="57"/>
      <c r="I19" s="57"/>
      <c r="J19" s="57"/>
      <c r="K19" s="57"/>
      <c r="L19" s="57"/>
      <c r="M19" s="56"/>
      <c r="N19" s="56"/>
      <c r="O19" s="56"/>
      <c r="P19" s="56"/>
      <c r="Q19" s="56"/>
      <c r="R19" s="56"/>
      <c r="S19" s="56"/>
      <c r="T19" s="56"/>
      <c r="U19" s="56"/>
      <c r="V19" s="56"/>
      <c r="W19" s="56"/>
      <c r="X19" s="56"/>
      <c r="Y19" s="56"/>
      <c r="Z19" s="56" t="s">
        <v>352</v>
      </c>
      <c r="AA19" s="56" t="s">
        <v>319</v>
      </c>
      <c r="AB19" s="56" t="s">
        <v>319</v>
      </c>
      <c r="AC19" s="56" t="s">
        <v>320</v>
      </c>
      <c r="AD19" s="56"/>
      <c r="AE19" s="56"/>
      <c r="AF19" s="56"/>
      <c r="AG19" s="56"/>
      <c r="AH19" s="56"/>
      <c r="AI19" s="56"/>
      <c r="AJ19" s="56"/>
      <c r="AK19" s="56"/>
      <c r="AL19" s="56"/>
      <c r="AM19" s="56"/>
      <c r="AN19" s="56"/>
      <c r="AO19" s="56"/>
      <c r="AP19" s="56"/>
      <c r="AQ19" s="56"/>
      <c r="AR19" s="56">
        <f t="shared" si="3"/>
        <v>1</v>
      </c>
      <c r="AS19" s="56">
        <f t="shared" si="4"/>
        <v>2</v>
      </c>
      <c r="AT19" s="56">
        <f t="shared" si="5"/>
        <v>1</v>
      </c>
      <c r="AU19" s="56" t="str">
        <f t="shared" si="6"/>
        <v/>
      </c>
      <c r="AV19" s="56">
        <f t="shared" si="7"/>
        <v>4</v>
      </c>
      <c r="AW19" s="56" t="s">
        <v>330</v>
      </c>
      <c r="AX19" s="56" t="s">
        <v>368</v>
      </c>
      <c r="AY19" s="59">
        <v>98037966964</v>
      </c>
      <c r="AZ19" s="56" t="s">
        <v>369</v>
      </c>
      <c r="BA19" s="59">
        <v>8064920886</v>
      </c>
      <c r="BB19" s="66" t="s">
        <v>347</v>
      </c>
      <c r="BC19" s="56">
        <v>2</v>
      </c>
      <c r="BD19" s="88"/>
      <c r="BE19" s="61"/>
      <c r="BF19" s="55"/>
    </row>
    <row r="20" spans="1:58" s="54" customFormat="1" ht="24" customHeight="1" x14ac:dyDescent="0.45">
      <c r="A20" s="72">
        <v>15</v>
      </c>
      <c r="B20" s="57" t="s">
        <v>370</v>
      </c>
      <c r="C20" s="57"/>
      <c r="D20" s="57"/>
      <c r="E20" s="57"/>
      <c r="F20" s="57"/>
      <c r="G20" s="57"/>
      <c r="H20" s="57"/>
      <c r="I20" s="57"/>
      <c r="J20" s="57"/>
      <c r="K20" s="57"/>
      <c r="L20" s="57"/>
      <c r="M20" s="56" t="str">
        <f>IF(M$4="金","昼",IF(M$4="土","○",IF(M$4="日","お","")))</f>
        <v>○</v>
      </c>
      <c r="N20" s="56" t="str">
        <f t="shared" ref="N20:AQ20" si="15">IF(N$4="金","昼",IF(N$4="土","○",IF(N$4="日","お","")))</f>
        <v>お</v>
      </c>
      <c r="O20" s="56" t="str">
        <f t="shared" si="15"/>
        <v/>
      </c>
      <c r="P20" s="56" t="str">
        <f t="shared" si="15"/>
        <v/>
      </c>
      <c r="Q20" s="56" t="str">
        <f t="shared" si="15"/>
        <v/>
      </c>
      <c r="R20" s="56" t="str">
        <f t="shared" si="15"/>
        <v/>
      </c>
      <c r="S20" s="56" t="str">
        <f t="shared" si="15"/>
        <v>昼</v>
      </c>
      <c r="T20" s="56" t="str">
        <f t="shared" si="15"/>
        <v>○</v>
      </c>
      <c r="U20" s="56" t="str">
        <f t="shared" si="15"/>
        <v>お</v>
      </c>
      <c r="V20" s="56" t="str">
        <f t="shared" si="15"/>
        <v/>
      </c>
      <c r="W20" s="56" t="str">
        <f t="shared" si="15"/>
        <v/>
      </c>
      <c r="X20" s="56" t="str">
        <f t="shared" si="15"/>
        <v/>
      </c>
      <c r="Y20" s="56" t="str">
        <f t="shared" si="15"/>
        <v/>
      </c>
      <c r="Z20" s="56" t="str">
        <f t="shared" si="15"/>
        <v>昼</v>
      </c>
      <c r="AA20" s="56" t="str">
        <f t="shared" si="15"/>
        <v>○</v>
      </c>
      <c r="AB20" s="56" t="str">
        <f t="shared" si="15"/>
        <v>お</v>
      </c>
      <c r="AC20" s="56" t="str">
        <f t="shared" si="15"/>
        <v/>
      </c>
      <c r="AD20" s="56" t="str">
        <f t="shared" si="15"/>
        <v/>
      </c>
      <c r="AE20" s="56" t="str">
        <f t="shared" si="15"/>
        <v/>
      </c>
      <c r="AF20" s="56" t="str">
        <f t="shared" si="15"/>
        <v/>
      </c>
      <c r="AG20" s="56" t="str">
        <f t="shared" si="15"/>
        <v>昼</v>
      </c>
      <c r="AH20" s="56" t="str">
        <f t="shared" si="15"/>
        <v>○</v>
      </c>
      <c r="AI20" s="56" t="str">
        <f t="shared" si="15"/>
        <v>お</v>
      </c>
      <c r="AJ20" s="56" t="str">
        <f t="shared" si="15"/>
        <v/>
      </c>
      <c r="AK20" s="56" t="str">
        <f t="shared" si="15"/>
        <v/>
      </c>
      <c r="AL20" s="56" t="str">
        <f t="shared" si="15"/>
        <v/>
      </c>
      <c r="AM20" s="56" t="str">
        <f t="shared" si="15"/>
        <v/>
      </c>
      <c r="AN20" s="56" t="str">
        <f t="shared" si="15"/>
        <v>昼</v>
      </c>
      <c r="AO20" s="56" t="str">
        <f t="shared" si="15"/>
        <v>○</v>
      </c>
      <c r="AP20" s="56" t="str">
        <f t="shared" si="15"/>
        <v>お</v>
      </c>
      <c r="AQ20" s="56" t="str">
        <f t="shared" si="15"/>
        <v/>
      </c>
      <c r="AR20" s="56">
        <f t="shared" si="3"/>
        <v>4</v>
      </c>
      <c r="AS20" s="56">
        <f t="shared" si="4"/>
        <v>5</v>
      </c>
      <c r="AT20" s="56">
        <f t="shared" si="5"/>
        <v>5</v>
      </c>
      <c r="AU20" s="56" t="str">
        <f t="shared" si="6"/>
        <v/>
      </c>
      <c r="AV20" s="56">
        <f t="shared" si="7"/>
        <v>14</v>
      </c>
      <c r="AW20" s="56" t="s">
        <v>323</v>
      </c>
      <c r="AX20" s="56" t="s">
        <v>371</v>
      </c>
      <c r="AY20" s="59">
        <v>9082930790</v>
      </c>
      <c r="AZ20" s="56" t="s">
        <v>372</v>
      </c>
      <c r="BA20" s="59">
        <v>7083029211</v>
      </c>
      <c r="BB20" s="66" t="s">
        <v>337</v>
      </c>
      <c r="BC20" s="56">
        <v>3</v>
      </c>
      <c r="BD20" s="88"/>
      <c r="BE20" s="61"/>
      <c r="BF20" s="55"/>
    </row>
    <row r="21" spans="1:58" s="54" customFormat="1" ht="24" customHeight="1" x14ac:dyDescent="0.45">
      <c r="A21" s="72">
        <v>16</v>
      </c>
      <c r="B21" s="57" t="s">
        <v>373</v>
      </c>
      <c r="C21" s="57"/>
      <c r="D21" s="57"/>
      <c r="E21" s="57"/>
      <c r="F21" s="57"/>
      <c r="G21" s="57"/>
      <c r="H21" s="57"/>
      <c r="I21" s="57"/>
      <c r="J21" s="57"/>
      <c r="K21" s="57"/>
      <c r="L21" s="57"/>
      <c r="M21" s="56"/>
      <c r="N21" s="56"/>
      <c r="O21" s="56"/>
      <c r="P21" s="56"/>
      <c r="Q21" s="56"/>
      <c r="R21" s="56"/>
      <c r="S21" s="56"/>
      <c r="T21" s="56"/>
      <c r="U21" s="56"/>
      <c r="V21" s="56"/>
      <c r="W21" s="56"/>
      <c r="X21" s="56"/>
      <c r="Y21" s="56"/>
      <c r="Z21" s="56"/>
      <c r="AA21" s="56"/>
      <c r="AB21" s="72"/>
      <c r="AC21" s="56"/>
      <c r="AD21" s="56"/>
      <c r="AE21" s="56"/>
      <c r="AF21" s="56"/>
      <c r="AG21" s="56"/>
      <c r="AH21" s="56"/>
      <c r="AI21" s="56"/>
      <c r="AJ21" s="56"/>
      <c r="AK21" s="56"/>
      <c r="AL21" s="56"/>
      <c r="AM21" s="56"/>
      <c r="AN21" s="56"/>
      <c r="AO21" s="56"/>
      <c r="AP21" s="56"/>
      <c r="AQ21" s="56"/>
      <c r="AR21" s="56" t="str">
        <f t="shared" si="3"/>
        <v/>
      </c>
      <c r="AS21" s="56" t="str">
        <f t="shared" si="4"/>
        <v/>
      </c>
      <c r="AT21" s="56" t="str">
        <f t="shared" si="5"/>
        <v/>
      </c>
      <c r="AU21" s="56" t="str">
        <f t="shared" si="6"/>
        <v/>
      </c>
      <c r="AV21" s="56" t="str">
        <f t="shared" si="7"/>
        <v/>
      </c>
      <c r="AW21" s="56" t="s">
        <v>323</v>
      </c>
      <c r="AX21" s="56" t="s">
        <v>374</v>
      </c>
      <c r="AY21" s="59">
        <v>8064937799</v>
      </c>
      <c r="AZ21" s="56" t="s">
        <v>375</v>
      </c>
      <c r="BA21" s="59">
        <v>8075301442</v>
      </c>
      <c r="BB21" s="66" t="s">
        <v>544</v>
      </c>
      <c r="BC21" s="56"/>
      <c r="BD21" s="88"/>
      <c r="BE21" s="61"/>
      <c r="BF21" s="55"/>
    </row>
    <row r="22" spans="1:58" s="54" customFormat="1" ht="24" customHeight="1" x14ac:dyDescent="0.45">
      <c r="A22" s="72">
        <v>17</v>
      </c>
      <c r="B22" s="57" t="s">
        <v>473</v>
      </c>
      <c r="C22" s="57"/>
      <c r="D22" s="57"/>
      <c r="E22" s="57"/>
      <c r="F22" s="57"/>
      <c r="G22" s="57"/>
      <c r="H22" s="57"/>
      <c r="I22" s="57"/>
      <c r="J22" s="57"/>
      <c r="K22" s="57"/>
      <c r="L22" s="57"/>
      <c r="M22" s="56"/>
      <c r="N22" s="56"/>
      <c r="O22" s="56"/>
      <c r="P22" s="56"/>
      <c r="Q22" s="56"/>
      <c r="R22" s="56"/>
      <c r="S22" s="56"/>
      <c r="T22" s="56" t="s">
        <v>352</v>
      </c>
      <c r="U22" s="56" t="s">
        <v>319</v>
      </c>
      <c r="V22" s="56" t="s">
        <v>319</v>
      </c>
      <c r="W22" s="56" t="s">
        <v>319</v>
      </c>
      <c r="X22" s="76" t="s">
        <v>320</v>
      </c>
      <c r="Y22" s="56"/>
      <c r="Z22" s="56"/>
      <c r="AA22" s="58"/>
      <c r="AB22" s="72"/>
      <c r="AC22" s="56"/>
      <c r="AD22" s="56"/>
      <c r="AE22" s="56"/>
      <c r="AF22" s="56"/>
      <c r="AG22" s="56"/>
      <c r="AH22" s="56"/>
      <c r="AI22" s="57"/>
      <c r="AJ22" s="56"/>
      <c r="AK22" s="56"/>
      <c r="AL22" s="56"/>
      <c r="AM22" s="56"/>
      <c r="AN22" s="56"/>
      <c r="AO22" s="56"/>
      <c r="AP22" s="58"/>
      <c r="AQ22" s="56"/>
      <c r="AR22" s="56">
        <f t="shared" si="3"/>
        <v>1</v>
      </c>
      <c r="AS22" s="56">
        <f t="shared" si="4"/>
        <v>3</v>
      </c>
      <c r="AT22" s="56">
        <f t="shared" si="5"/>
        <v>1</v>
      </c>
      <c r="AU22" s="56" t="str">
        <f t="shared" si="6"/>
        <v/>
      </c>
      <c r="AV22" s="56">
        <f t="shared" si="7"/>
        <v>5</v>
      </c>
      <c r="AW22" s="56" t="s">
        <v>323</v>
      </c>
      <c r="AX22" s="56" t="s">
        <v>474</v>
      </c>
      <c r="AY22" s="59">
        <v>9068577835</v>
      </c>
      <c r="AZ22" s="56" t="s">
        <v>475</v>
      </c>
      <c r="BA22" s="59">
        <v>9016132846</v>
      </c>
      <c r="BB22" s="66" t="s">
        <v>326</v>
      </c>
      <c r="BC22" s="56"/>
      <c r="BD22" s="88"/>
      <c r="BE22" s="61"/>
      <c r="BF22" s="55"/>
    </row>
    <row r="23" spans="1:58" s="54" customFormat="1" ht="24" customHeight="1" x14ac:dyDescent="0.45">
      <c r="A23" s="72">
        <v>18</v>
      </c>
      <c r="B23" s="57" t="s">
        <v>381</v>
      </c>
      <c r="C23" s="57"/>
      <c r="D23" s="57"/>
      <c r="E23" s="57"/>
      <c r="F23" s="57"/>
      <c r="G23" s="57"/>
      <c r="H23" s="57"/>
      <c r="I23" s="57"/>
      <c r="J23" s="57"/>
      <c r="K23" s="57"/>
      <c r="L23" s="57"/>
      <c r="M23" s="56" t="str">
        <f>IF(M$4="火","昼",IF(M$4="水","お",""))</f>
        <v/>
      </c>
      <c r="N23" s="56" t="str">
        <f t="shared" ref="N23:AQ23" si="16">IF(N$4="火","昼",IF(N$4="水","お",""))</f>
        <v/>
      </c>
      <c r="O23" s="56" t="str">
        <f t="shared" si="16"/>
        <v/>
      </c>
      <c r="P23" s="56" t="str">
        <f t="shared" si="16"/>
        <v>昼</v>
      </c>
      <c r="Q23" s="56" t="str">
        <f t="shared" si="16"/>
        <v>お</v>
      </c>
      <c r="R23" s="56" t="str">
        <f t="shared" si="16"/>
        <v/>
      </c>
      <c r="S23" s="56" t="str">
        <f t="shared" si="16"/>
        <v/>
      </c>
      <c r="T23" s="56" t="str">
        <f t="shared" si="16"/>
        <v/>
      </c>
      <c r="U23" s="56" t="str">
        <f t="shared" si="16"/>
        <v/>
      </c>
      <c r="V23" s="56" t="str">
        <f t="shared" si="16"/>
        <v/>
      </c>
      <c r="W23" s="56" t="str">
        <f t="shared" si="16"/>
        <v>昼</v>
      </c>
      <c r="X23" s="56" t="str">
        <f t="shared" si="16"/>
        <v>お</v>
      </c>
      <c r="Y23" s="56" t="str">
        <f t="shared" si="16"/>
        <v/>
      </c>
      <c r="Z23" s="56" t="str">
        <f t="shared" si="16"/>
        <v/>
      </c>
      <c r="AA23" s="56" t="str">
        <f t="shared" si="16"/>
        <v/>
      </c>
      <c r="AB23" s="56" t="str">
        <f t="shared" si="16"/>
        <v/>
      </c>
      <c r="AC23" s="56" t="str">
        <f t="shared" si="16"/>
        <v/>
      </c>
      <c r="AD23" s="56" t="str">
        <f t="shared" si="16"/>
        <v>昼</v>
      </c>
      <c r="AE23" s="56" t="str">
        <f t="shared" si="16"/>
        <v>お</v>
      </c>
      <c r="AF23" s="56" t="str">
        <f t="shared" si="16"/>
        <v/>
      </c>
      <c r="AG23" s="56" t="str">
        <f t="shared" si="16"/>
        <v/>
      </c>
      <c r="AH23" s="56" t="str">
        <f t="shared" si="16"/>
        <v/>
      </c>
      <c r="AI23" s="56" t="str">
        <f t="shared" si="16"/>
        <v/>
      </c>
      <c r="AJ23" s="56" t="str">
        <f t="shared" si="16"/>
        <v/>
      </c>
      <c r="AK23" s="56" t="str">
        <f t="shared" si="16"/>
        <v>昼</v>
      </c>
      <c r="AL23" s="56" t="str">
        <f t="shared" si="16"/>
        <v>お</v>
      </c>
      <c r="AM23" s="56" t="str">
        <f t="shared" si="16"/>
        <v/>
      </c>
      <c r="AN23" s="56" t="str">
        <f t="shared" si="16"/>
        <v/>
      </c>
      <c r="AO23" s="56" t="str">
        <f t="shared" si="16"/>
        <v/>
      </c>
      <c r="AP23" s="56" t="str">
        <f t="shared" si="16"/>
        <v/>
      </c>
      <c r="AQ23" s="56" t="str">
        <f t="shared" si="16"/>
        <v/>
      </c>
      <c r="AR23" s="56">
        <f t="shared" si="3"/>
        <v>4</v>
      </c>
      <c r="AS23" s="56" t="str">
        <f t="shared" si="4"/>
        <v/>
      </c>
      <c r="AT23" s="56">
        <f t="shared" si="5"/>
        <v>4</v>
      </c>
      <c r="AU23" s="56" t="str">
        <f t="shared" si="6"/>
        <v/>
      </c>
      <c r="AV23" s="56">
        <f t="shared" si="7"/>
        <v>8</v>
      </c>
      <c r="AW23" s="56" t="s">
        <v>323</v>
      </c>
      <c r="AX23" s="56" t="s">
        <v>382</v>
      </c>
      <c r="AY23" s="59">
        <v>8017623199</v>
      </c>
      <c r="AZ23" s="56" t="s">
        <v>383</v>
      </c>
      <c r="BA23" s="59">
        <v>9014956645</v>
      </c>
      <c r="BB23" s="66" t="s">
        <v>326</v>
      </c>
      <c r="BC23" s="56">
        <v>3</v>
      </c>
      <c r="BD23" s="88"/>
      <c r="BE23" s="61"/>
      <c r="BF23" s="55"/>
    </row>
    <row r="24" spans="1:58" s="54" customFormat="1" ht="24" customHeight="1" x14ac:dyDescent="0.45">
      <c r="A24" s="72">
        <v>19</v>
      </c>
      <c r="B24" s="57" t="s">
        <v>537</v>
      </c>
      <c r="C24" s="57"/>
      <c r="D24" s="57"/>
      <c r="E24" s="57"/>
      <c r="F24" s="57"/>
      <c r="G24" s="57"/>
      <c r="H24" s="57"/>
      <c r="I24" s="57"/>
      <c r="J24" s="57"/>
      <c r="K24" s="57"/>
      <c r="L24" s="57"/>
      <c r="M24" s="56" t="str">
        <f>IF(M$4="水","昼",IF(M$4="木","○",IF(M$4="金","お","")))</f>
        <v/>
      </c>
      <c r="N24" s="56" t="str">
        <f t="shared" ref="N24:AQ24" si="17">IF(N$4="水","昼",IF(N$4="木","○",IF(N$4="金","お","")))</f>
        <v/>
      </c>
      <c r="O24" s="56" t="str">
        <f t="shared" si="17"/>
        <v/>
      </c>
      <c r="P24" s="56" t="str">
        <f t="shared" si="17"/>
        <v/>
      </c>
      <c r="Q24" s="56" t="str">
        <f t="shared" si="17"/>
        <v>昼</v>
      </c>
      <c r="R24" s="56" t="str">
        <f t="shared" si="17"/>
        <v>○</v>
      </c>
      <c r="S24" s="56" t="str">
        <f t="shared" si="17"/>
        <v>お</v>
      </c>
      <c r="T24" s="56" t="str">
        <f t="shared" si="17"/>
        <v/>
      </c>
      <c r="U24" s="56" t="str">
        <f t="shared" si="17"/>
        <v/>
      </c>
      <c r="V24" s="56" t="str">
        <f t="shared" si="17"/>
        <v/>
      </c>
      <c r="W24" s="56" t="str">
        <f t="shared" si="17"/>
        <v/>
      </c>
      <c r="X24" s="56" t="str">
        <f t="shared" si="17"/>
        <v>昼</v>
      </c>
      <c r="Y24" s="56" t="str">
        <f t="shared" si="17"/>
        <v>○</v>
      </c>
      <c r="Z24" s="56" t="str">
        <f t="shared" si="17"/>
        <v>お</v>
      </c>
      <c r="AA24" s="56" t="str">
        <f t="shared" si="17"/>
        <v/>
      </c>
      <c r="AB24" s="56" t="str">
        <f t="shared" si="17"/>
        <v/>
      </c>
      <c r="AC24" s="56" t="str">
        <f t="shared" si="17"/>
        <v/>
      </c>
      <c r="AD24" s="56" t="str">
        <f t="shared" si="17"/>
        <v/>
      </c>
      <c r="AE24" s="56" t="str">
        <f t="shared" si="17"/>
        <v>昼</v>
      </c>
      <c r="AF24" s="56" t="str">
        <f t="shared" si="17"/>
        <v>○</v>
      </c>
      <c r="AG24" s="56" t="str">
        <f t="shared" si="17"/>
        <v>お</v>
      </c>
      <c r="AH24" s="56" t="str">
        <f t="shared" si="17"/>
        <v/>
      </c>
      <c r="AI24" s="56" t="str">
        <f t="shared" si="17"/>
        <v/>
      </c>
      <c r="AJ24" s="56" t="str">
        <f t="shared" si="17"/>
        <v/>
      </c>
      <c r="AK24" s="56" t="str">
        <f t="shared" si="17"/>
        <v/>
      </c>
      <c r="AL24" s="56" t="str">
        <f t="shared" si="17"/>
        <v>昼</v>
      </c>
      <c r="AM24" s="56" t="str">
        <f t="shared" si="17"/>
        <v>○</v>
      </c>
      <c r="AN24" s="56" t="str">
        <f t="shared" si="17"/>
        <v>お</v>
      </c>
      <c r="AO24" s="56" t="str">
        <f t="shared" si="17"/>
        <v/>
      </c>
      <c r="AP24" s="56" t="str">
        <f t="shared" si="17"/>
        <v/>
      </c>
      <c r="AQ24" s="56" t="str">
        <f t="shared" si="17"/>
        <v/>
      </c>
      <c r="AR24" s="56">
        <f t="shared" si="3"/>
        <v>4</v>
      </c>
      <c r="AS24" s="56">
        <f t="shared" si="4"/>
        <v>4</v>
      </c>
      <c r="AT24" s="56">
        <f t="shared" si="5"/>
        <v>4</v>
      </c>
      <c r="AU24" s="56" t="str">
        <f t="shared" si="6"/>
        <v/>
      </c>
      <c r="AV24" s="56">
        <f t="shared" si="7"/>
        <v>12</v>
      </c>
      <c r="AW24" s="56"/>
      <c r="AX24" s="56" t="s">
        <v>533</v>
      </c>
      <c r="AY24" s="59">
        <v>9073971616</v>
      </c>
      <c r="AZ24" s="56" t="s">
        <v>461</v>
      </c>
      <c r="BA24" s="59">
        <v>8064847234</v>
      </c>
      <c r="BB24" s="66" t="s">
        <v>326</v>
      </c>
      <c r="BC24" s="56">
        <v>1</v>
      </c>
      <c r="BD24" s="88"/>
      <c r="BE24" s="61"/>
      <c r="BF24" s="55"/>
    </row>
    <row r="25" spans="1:58" s="54" customFormat="1" ht="24" customHeight="1" x14ac:dyDescent="0.45">
      <c r="A25" s="72">
        <v>20</v>
      </c>
      <c r="B25" s="57" t="s">
        <v>381</v>
      </c>
      <c r="C25" s="57"/>
      <c r="D25" s="57"/>
      <c r="E25" s="57"/>
      <c r="F25" s="57"/>
      <c r="G25" s="57"/>
      <c r="H25" s="57"/>
      <c r="I25" s="57"/>
      <c r="J25" s="57"/>
      <c r="K25" s="57"/>
      <c r="L25" s="57"/>
      <c r="M25" s="56" t="str">
        <f>IF(M$4="火","昼",IF(M$4="水","お",""))</f>
        <v/>
      </c>
      <c r="N25" s="56" t="str">
        <f t="shared" ref="N25:AQ25" si="18">IF(N$4="火","昼",IF(N$4="水","お",""))</f>
        <v/>
      </c>
      <c r="O25" s="56" t="str">
        <f t="shared" si="18"/>
        <v/>
      </c>
      <c r="P25" s="56" t="str">
        <f t="shared" si="18"/>
        <v>昼</v>
      </c>
      <c r="Q25" s="56" t="str">
        <f t="shared" si="18"/>
        <v>お</v>
      </c>
      <c r="R25" s="56" t="str">
        <f t="shared" si="18"/>
        <v/>
      </c>
      <c r="S25" s="56" t="str">
        <f t="shared" si="18"/>
        <v/>
      </c>
      <c r="T25" s="56" t="str">
        <f t="shared" si="18"/>
        <v/>
      </c>
      <c r="U25" s="56" t="str">
        <f t="shared" si="18"/>
        <v/>
      </c>
      <c r="V25" s="56" t="str">
        <f t="shared" si="18"/>
        <v/>
      </c>
      <c r="W25" s="56" t="str">
        <f t="shared" si="18"/>
        <v>昼</v>
      </c>
      <c r="X25" s="56" t="str">
        <f t="shared" si="18"/>
        <v>お</v>
      </c>
      <c r="Y25" s="56" t="str">
        <f t="shared" si="18"/>
        <v/>
      </c>
      <c r="Z25" s="56" t="str">
        <f t="shared" si="18"/>
        <v/>
      </c>
      <c r="AA25" s="56" t="str">
        <f t="shared" si="18"/>
        <v/>
      </c>
      <c r="AB25" s="56" t="str">
        <f t="shared" si="18"/>
        <v/>
      </c>
      <c r="AC25" s="56" t="str">
        <f t="shared" si="18"/>
        <v/>
      </c>
      <c r="AD25" s="56" t="str">
        <f t="shared" si="18"/>
        <v>昼</v>
      </c>
      <c r="AE25" s="56" t="str">
        <f t="shared" si="18"/>
        <v>お</v>
      </c>
      <c r="AF25" s="56" t="str">
        <f t="shared" si="18"/>
        <v/>
      </c>
      <c r="AG25" s="56" t="str">
        <f t="shared" si="18"/>
        <v/>
      </c>
      <c r="AH25" s="56" t="str">
        <f t="shared" si="18"/>
        <v/>
      </c>
      <c r="AI25" s="56" t="str">
        <f t="shared" si="18"/>
        <v/>
      </c>
      <c r="AJ25" s="56" t="str">
        <f t="shared" si="18"/>
        <v/>
      </c>
      <c r="AK25" s="56" t="str">
        <f t="shared" si="18"/>
        <v>昼</v>
      </c>
      <c r="AL25" s="56" t="str">
        <f t="shared" si="18"/>
        <v>お</v>
      </c>
      <c r="AM25" s="56" t="str">
        <f t="shared" si="18"/>
        <v/>
      </c>
      <c r="AN25" s="56" t="str">
        <f t="shared" si="18"/>
        <v/>
      </c>
      <c r="AO25" s="56" t="str">
        <f t="shared" si="18"/>
        <v/>
      </c>
      <c r="AP25" s="56" t="str">
        <f t="shared" si="18"/>
        <v/>
      </c>
      <c r="AQ25" s="56" t="str">
        <f t="shared" si="18"/>
        <v/>
      </c>
      <c r="AR25" s="56">
        <f t="shared" si="3"/>
        <v>4</v>
      </c>
      <c r="AS25" s="56" t="str">
        <f t="shared" si="4"/>
        <v/>
      </c>
      <c r="AT25" s="56">
        <f t="shared" si="5"/>
        <v>4</v>
      </c>
      <c r="AU25" s="56" t="str">
        <f t="shared" si="6"/>
        <v/>
      </c>
      <c r="AV25" s="56">
        <f t="shared" si="7"/>
        <v>8</v>
      </c>
      <c r="AW25" s="56" t="s">
        <v>323</v>
      </c>
      <c r="AX25" s="56" t="s">
        <v>382</v>
      </c>
      <c r="AY25" s="59">
        <v>8017623199</v>
      </c>
      <c r="AZ25" s="56" t="s">
        <v>383</v>
      </c>
      <c r="BA25" s="59">
        <v>9014956645</v>
      </c>
      <c r="BB25" s="66" t="s">
        <v>326</v>
      </c>
      <c r="BC25" s="56">
        <v>3</v>
      </c>
      <c r="BD25" s="88"/>
      <c r="BE25" s="61"/>
      <c r="BF25" s="55"/>
    </row>
    <row r="26" spans="1:58" s="54" customFormat="1" ht="24" customHeight="1" x14ac:dyDescent="0.45">
      <c r="A26" s="72">
        <v>21</v>
      </c>
      <c r="B26" s="57" t="s">
        <v>384</v>
      </c>
      <c r="C26" s="57"/>
      <c r="D26" s="57"/>
      <c r="E26" s="57"/>
      <c r="F26" s="57"/>
      <c r="G26" s="57"/>
      <c r="H26" s="57"/>
      <c r="I26" s="57"/>
      <c r="J26" s="57"/>
      <c r="K26" s="57"/>
      <c r="L26" s="57"/>
      <c r="M26" s="56" t="str">
        <f>IF(M$4="木","昼",IF(M$4="金","お",""))</f>
        <v/>
      </c>
      <c r="N26" s="56" t="str">
        <f t="shared" ref="N26:AQ26" si="19">IF(N$4="木","昼",IF(N$4="金","お",""))</f>
        <v/>
      </c>
      <c r="O26" s="56" t="str">
        <f t="shared" si="19"/>
        <v/>
      </c>
      <c r="P26" s="56" t="str">
        <f t="shared" si="19"/>
        <v/>
      </c>
      <c r="Q26" s="56" t="str">
        <f t="shared" si="19"/>
        <v/>
      </c>
      <c r="R26" s="56" t="str">
        <f t="shared" si="19"/>
        <v>昼</v>
      </c>
      <c r="S26" s="56" t="str">
        <f t="shared" si="19"/>
        <v>お</v>
      </c>
      <c r="T26" s="56" t="str">
        <f t="shared" si="19"/>
        <v/>
      </c>
      <c r="U26" s="56" t="str">
        <f t="shared" si="19"/>
        <v/>
      </c>
      <c r="V26" s="56" t="str">
        <f t="shared" si="19"/>
        <v/>
      </c>
      <c r="W26" s="56" t="str">
        <f t="shared" si="19"/>
        <v/>
      </c>
      <c r="X26" s="56" t="str">
        <f t="shared" si="19"/>
        <v/>
      </c>
      <c r="Y26" s="56"/>
      <c r="Z26" s="56"/>
      <c r="AA26" s="56" t="str">
        <f t="shared" si="19"/>
        <v/>
      </c>
      <c r="AB26" s="56" t="str">
        <f t="shared" si="19"/>
        <v/>
      </c>
      <c r="AC26" s="56" t="str">
        <f t="shared" si="19"/>
        <v/>
      </c>
      <c r="AD26" s="56" t="str">
        <f t="shared" si="19"/>
        <v/>
      </c>
      <c r="AE26" s="56" t="str">
        <f t="shared" si="19"/>
        <v/>
      </c>
      <c r="AF26" s="56" t="str">
        <f t="shared" si="19"/>
        <v>昼</v>
      </c>
      <c r="AG26" s="56" t="str">
        <f t="shared" si="19"/>
        <v>お</v>
      </c>
      <c r="AH26" s="56" t="str">
        <f t="shared" si="19"/>
        <v/>
      </c>
      <c r="AI26" s="56" t="str">
        <f t="shared" si="19"/>
        <v/>
      </c>
      <c r="AJ26" s="56" t="str">
        <f t="shared" si="19"/>
        <v/>
      </c>
      <c r="AK26" s="56" t="str">
        <f t="shared" si="19"/>
        <v/>
      </c>
      <c r="AL26" s="56" t="str">
        <f t="shared" si="19"/>
        <v/>
      </c>
      <c r="AM26" s="56"/>
      <c r="AN26" s="56"/>
      <c r="AO26" s="56" t="str">
        <f t="shared" si="19"/>
        <v/>
      </c>
      <c r="AP26" s="56" t="str">
        <f t="shared" si="19"/>
        <v/>
      </c>
      <c r="AQ26" s="56" t="str">
        <f t="shared" si="19"/>
        <v/>
      </c>
      <c r="AR26" s="56">
        <f t="shared" si="3"/>
        <v>2</v>
      </c>
      <c r="AS26" s="56" t="str">
        <f t="shared" si="4"/>
        <v/>
      </c>
      <c r="AT26" s="56">
        <f t="shared" si="5"/>
        <v>2</v>
      </c>
      <c r="AU26" s="56" t="str">
        <f t="shared" si="6"/>
        <v/>
      </c>
      <c r="AV26" s="56">
        <f t="shared" si="7"/>
        <v>4</v>
      </c>
      <c r="AW26" s="56" t="s">
        <v>323</v>
      </c>
      <c r="AX26" s="56" t="s">
        <v>385</v>
      </c>
      <c r="AY26" s="59">
        <v>9097877632</v>
      </c>
      <c r="AZ26" s="56" t="s">
        <v>386</v>
      </c>
      <c r="BA26" s="59">
        <v>8085695618</v>
      </c>
      <c r="BB26" s="66" t="s">
        <v>326</v>
      </c>
      <c r="BC26" s="56">
        <v>3</v>
      </c>
      <c r="BD26" s="88"/>
      <c r="BE26" s="61"/>
      <c r="BF26" s="55"/>
    </row>
    <row r="27" spans="1:58" s="54" customFormat="1" ht="24" customHeight="1" x14ac:dyDescent="0.45">
      <c r="A27" s="72">
        <v>22</v>
      </c>
      <c r="B27" s="57"/>
      <c r="C27" s="57"/>
      <c r="D27" s="57"/>
      <c r="E27" s="57"/>
      <c r="F27" s="57"/>
      <c r="G27" s="57"/>
      <c r="H27" s="57"/>
      <c r="I27" s="57"/>
      <c r="J27" s="57"/>
      <c r="K27" s="57"/>
      <c r="L27" s="57"/>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t="str">
        <f t="shared" si="3"/>
        <v/>
      </c>
      <c r="AS27" s="56" t="str">
        <f t="shared" si="4"/>
        <v/>
      </c>
      <c r="AT27" s="56" t="str">
        <f t="shared" si="5"/>
        <v/>
      </c>
      <c r="AU27" s="56" t="str">
        <f t="shared" si="6"/>
        <v/>
      </c>
      <c r="AV27" s="56" t="str">
        <f t="shared" si="7"/>
        <v/>
      </c>
      <c r="AW27" s="56"/>
      <c r="AX27" s="56"/>
      <c r="AY27" s="59"/>
      <c r="AZ27" s="56"/>
      <c r="BA27" s="59"/>
      <c r="BB27" s="66"/>
      <c r="BC27" s="56"/>
      <c r="BD27" s="88"/>
      <c r="BE27" s="61"/>
      <c r="BF27" s="55"/>
    </row>
    <row r="28" spans="1:58" s="54" customFormat="1" ht="24" customHeight="1" x14ac:dyDescent="0.45">
      <c r="A28" s="72"/>
      <c r="B28" s="57"/>
      <c r="C28" s="57"/>
      <c r="D28" s="57"/>
      <c r="E28" s="57"/>
      <c r="F28" s="57"/>
      <c r="G28" s="57"/>
      <c r="H28" s="57"/>
      <c r="I28" s="57"/>
      <c r="J28" s="57"/>
      <c r="K28" s="57"/>
      <c r="L28" s="57"/>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9"/>
      <c r="AZ28" s="56"/>
      <c r="BA28" s="59"/>
      <c r="BB28" s="66"/>
      <c r="BC28" s="56"/>
      <c r="BD28" s="88"/>
      <c r="BE28" s="61"/>
      <c r="BF28" s="55"/>
    </row>
    <row r="29" spans="1:58" s="54" customFormat="1" ht="24" customHeight="1" x14ac:dyDescent="0.45">
      <c r="A29" s="72">
        <v>23</v>
      </c>
      <c r="B29" s="57"/>
      <c r="C29" s="57"/>
      <c r="D29" s="57"/>
      <c r="E29" s="57"/>
      <c r="F29" s="57"/>
      <c r="G29" s="57"/>
      <c r="H29" s="57"/>
      <c r="I29" s="57"/>
      <c r="J29" s="57"/>
      <c r="K29" s="57"/>
      <c r="L29" s="57"/>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t="str">
        <f t="shared" si="3"/>
        <v/>
      </c>
      <c r="AS29" s="56" t="str">
        <f t="shared" si="4"/>
        <v/>
      </c>
      <c r="AT29" s="56" t="str">
        <f t="shared" si="5"/>
        <v/>
      </c>
      <c r="AU29" s="56" t="str">
        <f t="shared" si="6"/>
        <v/>
      </c>
      <c r="AV29" s="56" t="str">
        <f t="shared" si="7"/>
        <v/>
      </c>
      <c r="AW29" s="56"/>
      <c r="AX29" s="56"/>
      <c r="AY29" s="59"/>
      <c r="AZ29" s="56"/>
      <c r="BA29" s="59"/>
      <c r="BB29" s="66"/>
      <c r="BC29" s="56"/>
      <c r="BD29" s="88"/>
      <c r="BE29" s="61"/>
      <c r="BF29" s="55"/>
    </row>
    <row r="30" spans="1:58" s="54" customFormat="1" ht="24" customHeight="1" x14ac:dyDescent="0.45">
      <c r="A30" s="72"/>
      <c r="B30" s="57" t="s">
        <v>387</v>
      </c>
      <c r="C30" s="57"/>
      <c r="D30" s="57"/>
      <c r="E30" s="57"/>
      <c r="F30" s="57"/>
      <c r="G30" s="57"/>
      <c r="H30" s="57"/>
      <c r="I30" s="57"/>
      <c r="J30" s="57"/>
      <c r="K30" s="57"/>
      <c r="L30" s="57"/>
      <c r="M30" s="56">
        <f t="shared" ref="M30:AQ30" si="20">COUNTIF(M5:M27,"朝")+COUNTIF(M5:M27,"昼")+COUNTIF(M5:M27,"夕")+COUNTIF(M5:M27,"お")+COUNTIF(M5:M27,"○")</f>
        <v>8</v>
      </c>
      <c r="N30" s="56">
        <f t="shared" si="20"/>
        <v>9</v>
      </c>
      <c r="O30" s="56">
        <f t="shared" si="20"/>
        <v>8</v>
      </c>
      <c r="P30" s="56">
        <f t="shared" si="20"/>
        <v>8</v>
      </c>
      <c r="Q30" s="56">
        <f t="shared" si="20"/>
        <v>9</v>
      </c>
      <c r="R30" s="56">
        <f t="shared" si="20"/>
        <v>9</v>
      </c>
      <c r="S30" s="56">
        <f t="shared" si="20"/>
        <v>9</v>
      </c>
      <c r="T30" s="56">
        <f t="shared" si="20"/>
        <v>11</v>
      </c>
      <c r="U30" s="56">
        <f t="shared" si="20"/>
        <v>11</v>
      </c>
      <c r="V30" s="56">
        <f t="shared" si="20"/>
        <v>9</v>
      </c>
      <c r="W30" s="56">
        <f t="shared" si="20"/>
        <v>9</v>
      </c>
      <c r="X30" s="56">
        <f t="shared" si="20"/>
        <v>10</v>
      </c>
      <c r="Y30" s="56">
        <f t="shared" si="20"/>
        <v>7</v>
      </c>
      <c r="Z30" s="56">
        <f t="shared" si="20"/>
        <v>7</v>
      </c>
      <c r="AA30" s="56">
        <f t="shared" si="20"/>
        <v>9</v>
      </c>
      <c r="AB30" s="56">
        <f t="shared" si="20"/>
        <v>10</v>
      </c>
      <c r="AC30" s="56">
        <f t="shared" si="20"/>
        <v>9</v>
      </c>
      <c r="AD30" s="56">
        <f t="shared" si="20"/>
        <v>8</v>
      </c>
      <c r="AE30" s="56">
        <f t="shared" si="20"/>
        <v>9</v>
      </c>
      <c r="AF30" s="56">
        <f t="shared" si="20"/>
        <v>9</v>
      </c>
      <c r="AG30" s="56">
        <f t="shared" si="20"/>
        <v>9</v>
      </c>
      <c r="AH30" s="56">
        <f t="shared" si="20"/>
        <v>10</v>
      </c>
      <c r="AI30" s="56">
        <f t="shared" si="20"/>
        <v>10</v>
      </c>
      <c r="AJ30" s="56">
        <f t="shared" si="20"/>
        <v>8</v>
      </c>
      <c r="AK30" s="56">
        <f t="shared" si="20"/>
        <v>8</v>
      </c>
      <c r="AL30" s="56">
        <f t="shared" si="20"/>
        <v>9</v>
      </c>
      <c r="AM30" s="56">
        <f t="shared" si="20"/>
        <v>7</v>
      </c>
      <c r="AN30" s="56">
        <f t="shared" si="20"/>
        <v>7</v>
      </c>
      <c r="AO30" s="56">
        <f t="shared" si="20"/>
        <v>8</v>
      </c>
      <c r="AP30" s="56">
        <f t="shared" si="20"/>
        <v>9</v>
      </c>
      <c r="AQ30" s="56">
        <f t="shared" si="20"/>
        <v>7</v>
      </c>
      <c r="AR30" s="56">
        <f>COUNTIF(AR5:AR26,"朝")+COUNTIF(AR5:AR26,"昼")+COUNTIF(AR5:AR26,"夕")+COUNTIF(AR5:AR26,"お")+COUNTIF(AR5:AR26,"○")</f>
        <v>0</v>
      </c>
      <c r="AS30" s="56">
        <f>COUNTIF(AS5:AS26,"朝")+COUNTIF(AS5:AS26,"昼")+COUNTIF(AS5:AS26,"夕")+COUNTIF(AS5:AS26,"お")+COUNTIF(AS5:AS26,"○")</f>
        <v>0</v>
      </c>
      <c r="AT30" s="56">
        <f>COUNTIF(AT5:AT26,"朝")+COUNTIF(AT5:AT26,"昼")+COUNTIF(AT5:AT26,"夕")+COUNTIF(AT5:AT26,"お")+COUNTIF(AT5:AT26,"○")</f>
        <v>0</v>
      </c>
      <c r="AU30" s="56">
        <f>COUNTIF(AU5:AU26,"朝")+COUNTIF(AU5:AU26,"昼")+COUNTIF(AU5:AU26,"夕")+COUNTIF(AU5:AU26,"お")+COUNTIF(AU5:AU26,"○")</f>
        <v>0</v>
      </c>
      <c r="AV30" s="56">
        <f>SUM(M30:AQ30)</f>
        <v>270</v>
      </c>
      <c r="AW30" s="56"/>
      <c r="AX30" s="63" t="s">
        <v>388</v>
      </c>
      <c r="AY30" s="56" t="s">
        <v>389</v>
      </c>
      <c r="AZ30" s="56"/>
      <c r="BA30" s="56"/>
      <c r="BB30" s="56"/>
      <c r="BC30" s="118" t="s">
        <v>390</v>
      </c>
      <c r="BD30" s="88"/>
      <c r="BE30" s="61"/>
      <c r="BF30" s="55"/>
    </row>
    <row r="31" spans="1:58" s="54" customFormat="1" ht="24" customHeight="1" x14ac:dyDescent="0.45">
      <c r="A31" s="72"/>
      <c r="B31" s="45" t="s">
        <v>391</v>
      </c>
      <c r="C31" s="57"/>
      <c r="D31" s="57"/>
      <c r="E31" s="57"/>
      <c r="F31" s="57"/>
      <c r="G31" s="57"/>
      <c r="H31" s="57"/>
      <c r="I31" s="57"/>
      <c r="J31" s="57"/>
      <c r="K31" s="57"/>
      <c r="L31" s="57"/>
      <c r="M31" s="56">
        <f>8-M30</f>
        <v>0</v>
      </c>
      <c r="N31" s="56">
        <f t="shared" ref="N31:AQ31" si="21">8-N30</f>
        <v>-1</v>
      </c>
      <c r="O31" s="56">
        <f t="shared" si="21"/>
        <v>0</v>
      </c>
      <c r="P31" s="56">
        <f t="shared" si="21"/>
        <v>0</v>
      </c>
      <c r="Q31" s="56">
        <f t="shared" si="21"/>
        <v>-1</v>
      </c>
      <c r="R31" s="56">
        <f t="shared" si="21"/>
        <v>-1</v>
      </c>
      <c r="S31" s="56">
        <f t="shared" si="21"/>
        <v>-1</v>
      </c>
      <c r="T31" s="56">
        <f t="shared" si="21"/>
        <v>-3</v>
      </c>
      <c r="U31" s="56">
        <f t="shared" si="21"/>
        <v>-3</v>
      </c>
      <c r="V31" s="56">
        <f t="shared" si="21"/>
        <v>-1</v>
      </c>
      <c r="W31" s="56">
        <f t="shared" si="21"/>
        <v>-1</v>
      </c>
      <c r="X31" s="56">
        <f t="shared" si="21"/>
        <v>-2</v>
      </c>
      <c r="Y31" s="56">
        <f t="shared" si="21"/>
        <v>1</v>
      </c>
      <c r="Z31" s="56">
        <f t="shared" si="21"/>
        <v>1</v>
      </c>
      <c r="AA31" s="56">
        <f t="shared" si="21"/>
        <v>-1</v>
      </c>
      <c r="AB31" s="56">
        <f t="shared" si="21"/>
        <v>-2</v>
      </c>
      <c r="AC31" s="56">
        <f t="shared" si="21"/>
        <v>-1</v>
      </c>
      <c r="AD31" s="56">
        <f t="shared" si="21"/>
        <v>0</v>
      </c>
      <c r="AE31" s="56">
        <f t="shared" si="21"/>
        <v>-1</v>
      </c>
      <c r="AF31" s="56">
        <f t="shared" si="21"/>
        <v>-1</v>
      </c>
      <c r="AG31" s="56">
        <f t="shared" si="21"/>
        <v>-1</v>
      </c>
      <c r="AH31" s="56">
        <f t="shared" si="21"/>
        <v>-2</v>
      </c>
      <c r="AI31" s="56">
        <f t="shared" si="21"/>
        <v>-2</v>
      </c>
      <c r="AJ31" s="56">
        <f t="shared" si="21"/>
        <v>0</v>
      </c>
      <c r="AK31" s="56">
        <f t="shared" si="21"/>
        <v>0</v>
      </c>
      <c r="AL31" s="56">
        <f t="shared" si="21"/>
        <v>-1</v>
      </c>
      <c r="AM31" s="56">
        <f t="shared" si="21"/>
        <v>1</v>
      </c>
      <c r="AN31" s="56">
        <f t="shared" si="21"/>
        <v>1</v>
      </c>
      <c r="AO31" s="56">
        <f t="shared" si="21"/>
        <v>0</v>
      </c>
      <c r="AP31" s="56">
        <f t="shared" si="21"/>
        <v>-1</v>
      </c>
      <c r="AQ31" s="56">
        <f t="shared" si="21"/>
        <v>1</v>
      </c>
      <c r="AR31" s="56"/>
      <c r="AS31" s="56"/>
      <c r="AT31" s="56"/>
      <c r="AU31" s="56"/>
      <c r="AV31" s="56">
        <f t="shared" ref="AV31:AV34" si="22">SUM(M31:AQ31)</f>
        <v>-22</v>
      </c>
      <c r="AW31" s="56"/>
      <c r="AX31" s="63">
        <f>AVERAGE(M30:AQ30)</f>
        <v>8.7096774193548381</v>
      </c>
      <c r="AY31" s="65">
        <f>8*365/12-AV30</f>
        <v>-26.666666666666657</v>
      </c>
      <c r="AZ31" s="65"/>
      <c r="BA31" s="65"/>
      <c r="BB31" s="56"/>
      <c r="BC31" s="63">
        <f>AVERAGE(BC5:BC30)</f>
        <v>2.4500000000000002</v>
      </c>
      <c r="BD31" s="88"/>
      <c r="BE31" s="61"/>
      <c r="BF31" s="55"/>
    </row>
    <row r="32" spans="1:58" s="54" customFormat="1" ht="24" customHeight="1" x14ac:dyDescent="0.45">
      <c r="A32" s="72"/>
      <c r="B32" s="57" t="s">
        <v>392</v>
      </c>
      <c r="C32" s="57"/>
      <c r="D32" s="57"/>
      <c r="E32" s="57"/>
      <c r="F32" s="57"/>
      <c r="G32" s="57"/>
      <c r="H32" s="57"/>
      <c r="I32" s="57"/>
      <c r="J32" s="57"/>
      <c r="K32" s="57"/>
      <c r="L32" s="57"/>
      <c r="M32" s="56">
        <f t="shared" ref="M32:AQ32" si="23">COUNTIF(M5:M26,"昼")</f>
        <v>3</v>
      </c>
      <c r="N32" s="56">
        <f t="shared" si="23"/>
        <v>1</v>
      </c>
      <c r="O32" s="56">
        <f t="shared" si="23"/>
        <v>2</v>
      </c>
      <c r="P32" s="56">
        <f t="shared" si="23"/>
        <v>3</v>
      </c>
      <c r="Q32" s="56">
        <f t="shared" si="23"/>
        <v>1</v>
      </c>
      <c r="R32" s="56">
        <f t="shared" si="23"/>
        <v>2</v>
      </c>
      <c r="S32" s="56">
        <f t="shared" si="23"/>
        <v>2</v>
      </c>
      <c r="T32" s="56">
        <f t="shared" si="23"/>
        <v>4</v>
      </c>
      <c r="U32" s="56">
        <f t="shared" si="23"/>
        <v>1</v>
      </c>
      <c r="V32" s="56">
        <f t="shared" si="23"/>
        <v>1</v>
      </c>
      <c r="W32" s="56">
        <f t="shared" si="23"/>
        <v>3</v>
      </c>
      <c r="X32" s="56">
        <f t="shared" si="23"/>
        <v>1</v>
      </c>
      <c r="Y32" s="56">
        <f t="shared" si="23"/>
        <v>0</v>
      </c>
      <c r="Z32" s="56">
        <f t="shared" si="23"/>
        <v>3</v>
      </c>
      <c r="AA32" s="56">
        <f t="shared" si="23"/>
        <v>3</v>
      </c>
      <c r="AB32" s="56">
        <f t="shared" si="23"/>
        <v>1</v>
      </c>
      <c r="AC32" s="56">
        <f t="shared" si="23"/>
        <v>2</v>
      </c>
      <c r="AD32" s="56">
        <f t="shared" si="23"/>
        <v>3</v>
      </c>
      <c r="AE32" s="56">
        <f t="shared" si="23"/>
        <v>1</v>
      </c>
      <c r="AF32" s="56">
        <f t="shared" si="23"/>
        <v>2</v>
      </c>
      <c r="AG32" s="56">
        <f t="shared" si="23"/>
        <v>2</v>
      </c>
      <c r="AH32" s="56">
        <f t="shared" si="23"/>
        <v>3</v>
      </c>
      <c r="AI32" s="56">
        <f t="shared" si="23"/>
        <v>1</v>
      </c>
      <c r="AJ32" s="56">
        <f t="shared" si="23"/>
        <v>1</v>
      </c>
      <c r="AK32" s="56">
        <f t="shared" si="23"/>
        <v>3</v>
      </c>
      <c r="AL32" s="56">
        <f t="shared" si="23"/>
        <v>1</v>
      </c>
      <c r="AM32" s="56">
        <f t="shared" si="23"/>
        <v>0</v>
      </c>
      <c r="AN32" s="56">
        <f t="shared" si="23"/>
        <v>3</v>
      </c>
      <c r="AO32" s="56">
        <f t="shared" si="23"/>
        <v>2</v>
      </c>
      <c r="AP32" s="56">
        <f t="shared" si="23"/>
        <v>1</v>
      </c>
      <c r="AQ32" s="56">
        <f t="shared" si="23"/>
        <v>1</v>
      </c>
      <c r="AR32" s="56" t="e">
        <f>COUNTIF(#REF!,"昼")</f>
        <v>#REF!</v>
      </c>
      <c r="AS32" s="56" t="e">
        <f>COUNTIF(#REF!,"昼")</f>
        <v>#REF!</v>
      </c>
      <c r="AT32" s="56" t="e">
        <f>COUNTIF(#REF!,"昼")</f>
        <v>#REF!</v>
      </c>
      <c r="AU32" s="56" t="e">
        <f>COUNTIF(#REF!,"昼")</f>
        <v>#REF!</v>
      </c>
      <c r="AV32" s="56">
        <f t="shared" si="22"/>
        <v>57</v>
      </c>
      <c r="AW32" s="56"/>
      <c r="AX32" s="56"/>
      <c r="AY32" s="56" t="s">
        <v>393</v>
      </c>
      <c r="AZ32" s="56"/>
      <c r="BA32" s="56"/>
      <c r="BB32" s="66"/>
      <c r="BC32" s="66"/>
      <c r="BD32" s="88"/>
      <c r="BE32" s="61"/>
      <c r="BF32" s="55"/>
    </row>
    <row r="33" spans="1:58" s="54" customFormat="1" ht="24" customHeight="1" x14ac:dyDescent="0.45">
      <c r="A33" s="72"/>
      <c r="B33" s="57" t="s">
        <v>394</v>
      </c>
      <c r="C33" s="57"/>
      <c r="D33" s="57"/>
      <c r="E33" s="57"/>
      <c r="F33" s="57"/>
      <c r="G33" s="57"/>
      <c r="H33" s="57"/>
      <c r="I33" s="57"/>
      <c r="J33" s="57"/>
      <c r="K33" s="57"/>
      <c r="L33" s="57"/>
      <c r="M33" s="56">
        <f t="shared" ref="M33:AQ33" si="24">COUNTIF(M5:M30,"お")</f>
        <v>0</v>
      </c>
      <c r="N33" s="56">
        <f t="shared" si="24"/>
        <v>2</v>
      </c>
      <c r="O33" s="56">
        <f t="shared" si="24"/>
        <v>2</v>
      </c>
      <c r="P33" s="56">
        <f t="shared" si="24"/>
        <v>0</v>
      </c>
      <c r="Q33" s="56">
        <f t="shared" si="24"/>
        <v>2</v>
      </c>
      <c r="R33" s="56">
        <f t="shared" si="24"/>
        <v>1</v>
      </c>
      <c r="S33" s="56">
        <f t="shared" si="24"/>
        <v>2</v>
      </c>
      <c r="T33" s="56">
        <f t="shared" si="24"/>
        <v>0</v>
      </c>
      <c r="U33" s="56">
        <f t="shared" si="24"/>
        <v>2</v>
      </c>
      <c r="V33" s="56">
        <f t="shared" si="24"/>
        <v>2</v>
      </c>
      <c r="W33" s="56">
        <f t="shared" si="24"/>
        <v>0</v>
      </c>
      <c r="X33" s="56">
        <f t="shared" si="24"/>
        <v>3</v>
      </c>
      <c r="Y33" s="56">
        <f t="shared" si="24"/>
        <v>2</v>
      </c>
      <c r="Z33" s="56">
        <f t="shared" si="24"/>
        <v>1</v>
      </c>
      <c r="AA33" s="56">
        <f t="shared" si="24"/>
        <v>0</v>
      </c>
      <c r="AB33" s="56">
        <f t="shared" si="24"/>
        <v>2</v>
      </c>
      <c r="AC33" s="56">
        <f t="shared" si="24"/>
        <v>3</v>
      </c>
      <c r="AD33" s="56">
        <f t="shared" si="24"/>
        <v>0</v>
      </c>
      <c r="AE33" s="56">
        <f t="shared" si="24"/>
        <v>2</v>
      </c>
      <c r="AF33" s="56">
        <f t="shared" si="24"/>
        <v>1</v>
      </c>
      <c r="AG33" s="56">
        <f t="shared" si="24"/>
        <v>2</v>
      </c>
      <c r="AH33" s="56">
        <f t="shared" si="24"/>
        <v>0</v>
      </c>
      <c r="AI33" s="56">
        <f t="shared" si="24"/>
        <v>2</v>
      </c>
      <c r="AJ33" s="56">
        <f t="shared" si="24"/>
        <v>2</v>
      </c>
      <c r="AK33" s="56">
        <f t="shared" si="24"/>
        <v>0</v>
      </c>
      <c r="AL33" s="56">
        <f t="shared" si="24"/>
        <v>2</v>
      </c>
      <c r="AM33" s="56">
        <f t="shared" si="24"/>
        <v>2</v>
      </c>
      <c r="AN33" s="56">
        <f t="shared" si="24"/>
        <v>1</v>
      </c>
      <c r="AO33" s="56">
        <f t="shared" si="24"/>
        <v>0</v>
      </c>
      <c r="AP33" s="56">
        <f t="shared" si="24"/>
        <v>1</v>
      </c>
      <c r="AQ33" s="56">
        <f t="shared" si="24"/>
        <v>2</v>
      </c>
      <c r="AR33" s="56">
        <f>COUNTIF(AR5:AR26,"お")</f>
        <v>0</v>
      </c>
      <c r="AS33" s="56">
        <f>COUNTIF(AS5:AS26,"お")</f>
        <v>0</v>
      </c>
      <c r="AT33" s="56">
        <f>COUNTIF(AT5:AT26,"お")</f>
        <v>0</v>
      </c>
      <c r="AU33" s="56">
        <f>COUNTIF(AU5:AU26,"お")</f>
        <v>0</v>
      </c>
      <c r="AV33" s="56">
        <f t="shared" si="22"/>
        <v>41</v>
      </c>
      <c r="AW33" s="56"/>
      <c r="AX33" s="56"/>
      <c r="AY33" s="56"/>
      <c r="AZ33" s="56"/>
      <c r="BA33" s="56"/>
      <c r="BB33" s="66"/>
      <c r="BC33" s="66"/>
      <c r="BD33" s="67"/>
      <c r="BE33" s="61"/>
      <c r="BF33" s="55"/>
    </row>
    <row r="34" spans="1:58" s="54" customFormat="1" ht="24" customHeight="1" x14ac:dyDescent="0.45">
      <c r="A34" s="72"/>
      <c r="B34" s="57" t="s">
        <v>395</v>
      </c>
      <c r="C34" s="57"/>
      <c r="D34" s="57"/>
      <c r="E34" s="57"/>
      <c r="F34" s="57"/>
      <c r="G34" s="57"/>
      <c r="H34" s="57"/>
      <c r="I34" s="57"/>
      <c r="J34" s="57"/>
      <c r="K34" s="57"/>
      <c r="L34" s="57"/>
      <c r="M34" s="56">
        <f t="shared" ref="M34:AQ34" si="25">COUNTIF(M5:M26,"お")+COUNTIF(M5:M26,"夕")</f>
        <v>0</v>
      </c>
      <c r="N34" s="56">
        <f t="shared" si="25"/>
        <v>3</v>
      </c>
      <c r="O34" s="56">
        <f t="shared" si="25"/>
        <v>3</v>
      </c>
      <c r="P34" s="56">
        <f t="shared" si="25"/>
        <v>0</v>
      </c>
      <c r="Q34" s="56">
        <f t="shared" si="25"/>
        <v>2</v>
      </c>
      <c r="R34" s="56">
        <f t="shared" si="25"/>
        <v>2</v>
      </c>
      <c r="S34" s="56">
        <f t="shared" si="25"/>
        <v>2</v>
      </c>
      <c r="T34" s="56">
        <f t="shared" si="25"/>
        <v>1</v>
      </c>
      <c r="U34" s="56">
        <f t="shared" si="25"/>
        <v>3</v>
      </c>
      <c r="V34" s="56">
        <f t="shared" si="25"/>
        <v>3</v>
      </c>
      <c r="W34" s="56">
        <f t="shared" si="25"/>
        <v>0</v>
      </c>
      <c r="X34" s="56">
        <f t="shared" si="25"/>
        <v>3</v>
      </c>
      <c r="Y34" s="56">
        <f t="shared" si="25"/>
        <v>3</v>
      </c>
      <c r="Z34" s="56">
        <f t="shared" si="25"/>
        <v>1</v>
      </c>
      <c r="AA34" s="56">
        <f t="shared" si="25"/>
        <v>0</v>
      </c>
      <c r="AB34" s="56">
        <f t="shared" si="25"/>
        <v>3</v>
      </c>
      <c r="AC34" s="56">
        <f t="shared" si="25"/>
        <v>4</v>
      </c>
      <c r="AD34" s="56">
        <f t="shared" si="25"/>
        <v>0</v>
      </c>
      <c r="AE34" s="56">
        <f t="shared" si="25"/>
        <v>2</v>
      </c>
      <c r="AF34" s="56">
        <f t="shared" si="25"/>
        <v>2</v>
      </c>
      <c r="AG34" s="56">
        <f t="shared" si="25"/>
        <v>2</v>
      </c>
      <c r="AH34" s="56">
        <f t="shared" si="25"/>
        <v>1</v>
      </c>
      <c r="AI34" s="56">
        <f t="shared" si="25"/>
        <v>3</v>
      </c>
      <c r="AJ34" s="56">
        <f t="shared" si="25"/>
        <v>3</v>
      </c>
      <c r="AK34" s="56">
        <f t="shared" si="25"/>
        <v>0</v>
      </c>
      <c r="AL34" s="56">
        <f t="shared" si="25"/>
        <v>2</v>
      </c>
      <c r="AM34" s="56">
        <f t="shared" si="25"/>
        <v>3</v>
      </c>
      <c r="AN34" s="56">
        <f t="shared" si="25"/>
        <v>1</v>
      </c>
      <c r="AO34" s="56">
        <f t="shared" si="25"/>
        <v>0</v>
      </c>
      <c r="AP34" s="56">
        <f t="shared" si="25"/>
        <v>2</v>
      </c>
      <c r="AQ34" s="56">
        <f t="shared" si="25"/>
        <v>3</v>
      </c>
      <c r="AR34" s="56" t="e">
        <f>COUNTIF(#REF!,"お")+COUNTIF(#REF!,"夕")</f>
        <v>#REF!</v>
      </c>
      <c r="AS34" s="56" t="e">
        <f>COUNTIF(#REF!,"お")+COUNTIF(#REF!,"夕")</f>
        <v>#REF!</v>
      </c>
      <c r="AT34" s="56" t="e">
        <f>COUNTIF(#REF!,"お")+COUNTIF(#REF!,"夕")</f>
        <v>#REF!</v>
      </c>
      <c r="AU34" s="56" t="e">
        <f>COUNTIF(#REF!,"お")+COUNTIF(#REF!,"夕")</f>
        <v>#REF!</v>
      </c>
      <c r="AV34" s="56">
        <f t="shared" si="22"/>
        <v>57</v>
      </c>
      <c r="AW34" s="56"/>
      <c r="AX34" s="56"/>
      <c r="AY34" s="56"/>
      <c r="AZ34" s="56"/>
      <c r="BA34" s="56"/>
      <c r="BB34" s="66"/>
      <c r="BC34" s="66"/>
      <c r="BD34" s="67"/>
      <c r="BE34" s="61"/>
      <c r="BF34" s="55"/>
    </row>
    <row r="35" spans="1:58" s="54" customFormat="1" ht="24" customHeight="1" x14ac:dyDescent="0.45">
      <c r="A35" s="72"/>
      <c r="BB35" s="69"/>
      <c r="BC35" s="115"/>
      <c r="BD35" s="88"/>
      <c r="BE35" s="61"/>
      <c r="BF35" s="55"/>
    </row>
    <row r="36" spans="1:58" s="54" customFormat="1" ht="24" customHeight="1" x14ac:dyDescent="0.45">
      <c r="A36" s="72"/>
      <c r="BB36" s="69" t="s">
        <v>396</v>
      </c>
      <c r="BC36" s="115"/>
      <c r="BD36" s="88"/>
      <c r="BE36" s="61"/>
      <c r="BF36" s="55"/>
    </row>
    <row r="37" spans="1:58" s="54" customFormat="1" ht="24" customHeight="1" x14ac:dyDescent="0.45">
      <c r="A37" s="72"/>
      <c r="BB37" s="69"/>
      <c r="BC37" s="115"/>
      <c r="BD37" s="88"/>
      <c r="BE37" s="61"/>
      <c r="BF37" s="55"/>
    </row>
    <row r="38" spans="1:58" s="54" customFormat="1" ht="24" customHeight="1" x14ac:dyDescent="0.45">
      <c r="A38" s="72"/>
      <c r="BB38" s="69"/>
      <c r="BC38" s="115"/>
      <c r="BD38" s="69"/>
      <c r="BE38" s="61"/>
      <c r="BF38" s="55"/>
    </row>
    <row r="39" spans="1:58" s="54" customFormat="1" ht="24" customHeight="1" x14ac:dyDescent="0.45">
      <c r="A39" s="7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70"/>
      <c r="BC39" s="116"/>
      <c r="BD39" s="69"/>
      <c r="BE39" s="61"/>
      <c r="BF39" s="55"/>
    </row>
    <row r="40" spans="1:58" s="54" customFormat="1" ht="24" customHeight="1" x14ac:dyDescent="0.45">
      <c r="A40" s="7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70"/>
      <c r="BC40" s="116"/>
      <c r="BD40" s="69"/>
      <c r="BE40" s="55"/>
    </row>
    <row r="41" spans="1:58" s="54" customFormat="1" ht="24" customHeight="1" x14ac:dyDescent="0.45">
      <c r="A41" s="73"/>
      <c r="B41" s="57" t="s">
        <v>397</v>
      </c>
      <c r="C41" s="57"/>
      <c r="D41" s="57"/>
      <c r="E41" s="57"/>
      <c r="F41" s="57"/>
      <c r="G41" s="57"/>
      <c r="H41" s="57"/>
      <c r="I41" s="57"/>
      <c r="J41" s="57" t="str">
        <f t="shared" ref="J41:J42" si="26">IF(COUNTA(C41:I41)=0,"",COUNTA(C41:I41))</f>
        <v/>
      </c>
      <c r="K41" s="57"/>
      <c r="L41" s="57"/>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t="str">
        <f t="shared" ref="AR41:AR42" si="27">IF(COUNTIF($M41:$AQ41,"昼")=0,"",COUNTIF($M41:$AQ41,"昼"))</f>
        <v/>
      </c>
      <c r="AS41" s="56" t="str">
        <f t="shared" ref="AS41:AS42" si="28">IF(COUNTIF($M41:$AQ41,"○")=0,"",COUNTIF($M41:$AQ41,"○"))</f>
        <v/>
      </c>
      <c r="AT41" s="56" t="str">
        <f t="shared" ref="AT41:AT42" si="29">IF(COUNTIF($M41:$AQ41,"お")=0,"",COUNTIF($M41:$AQ41,"お"))</f>
        <v/>
      </c>
      <c r="AU41" s="56" t="str">
        <f t="shared" ref="AU41:AU42" si="30">IF(COUNTIF($M41:$AQ41,"夕")=0,"",COUNTIF($M41:$AQ41,"夕"))</f>
        <v/>
      </c>
      <c r="AV41" s="56" t="str">
        <f t="shared" ref="AV41:AV42" si="31">IF(COUNTA(M41:AQ41)=0,"",SUM(AR41:AU41))</f>
        <v/>
      </c>
      <c r="AW41" s="56"/>
      <c r="AX41" s="56" t="s">
        <v>398</v>
      </c>
      <c r="AY41" s="59">
        <v>9068599322</v>
      </c>
      <c r="AZ41" s="59"/>
      <c r="BA41" s="59"/>
      <c r="BB41" s="66"/>
      <c r="BC41" s="66"/>
      <c r="BD41" s="69"/>
      <c r="BE41" s="53"/>
      <c r="BF41" s="55" t="s">
        <v>401</v>
      </c>
    </row>
    <row r="42" spans="1:58" s="54" customFormat="1" ht="24" customHeight="1" x14ac:dyDescent="0.45">
      <c r="A42" s="53"/>
      <c r="B42" s="57" t="s">
        <v>399</v>
      </c>
      <c r="C42" s="57"/>
      <c r="D42" s="57"/>
      <c r="E42" s="57"/>
      <c r="F42" s="57"/>
      <c r="G42" s="57"/>
      <c r="H42" s="57"/>
      <c r="I42" s="57"/>
      <c r="J42" s="57" t="str">
        <f t="shared" si="26"/>
        <v/>
      </c>
      <c r="K42" s="57"/>
      <c r="L42" s="57"/>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t="str">
        <f t="shared" si="27"/>
        <v/>
      </c>
      <c r="AS42" s="56" t="str">
        <f t="shared" si="28"/>
        <v/>
      </c>
      <c r="AT42" s="56" t="str">
        <f t="shared" si="29"/>
        <v/>
      </c>
      <c r="AU42" s="56" t="str">
        <f t="shared" si="30"/>
        <v/>
      </c>
      <c r="AV42" s="56" t="str">
        <f t="shared" si="31"/>
        <v/>
      </c>
      <c r="AW42" s="56"/>
      <c r="AX42" s="56" t="s">
        <v>400</v>
      </c>
      <c r="AY42" s="59">
        <v>8046668865</v>
      </c>
      <c r="AZ42" s="59"/>
      <c r="BA42" s="59"/>
      <c r="BB42" s="66"/>
      <c r="BC42" s="66"/>
      <c r="BD42" s="70"/>
      <c r="BE42" s="53"/>
      <c r="BF42" s="55"/>
    </row>
    <row r="43" spans="1:58" s="54" customFormat="1" ht="24" customHeight="1" x14ac:dyDescent="0.45">
      <c r="A43" s="53"/>
      <c r="B43" s="57" t="s">
        <v>354</v>
      </c>
      <c r="C43" s="57"/>
      <c r="D43" s="57"/>
      <c r="E43" s="57"/>
      <c r="F43" s="57"/>
      <c r="G43" s="57"/>
      <c r="H43" s="57"/>
      <c r="I43" s="57"/>
      <c r="J43" s="57"/>
      <c r="K43" s="57"/>
      <c r="L43" s="57"/>
      <c r="M43" s="56"/>
      <c r="N43" s="56"/>
      <c r="O43" s="56"/>
      <c r="P43" s="56"/>
      <c r="Q43" s="56"/>
      <c r="R43" s="56"/>
      <c r="S43" s="56"/>
      <c r="T43" s="56"/>
      <c r="U43" s="56"/>
      <c r="V43" s="56"/>
      <c r="W43" s="56"/>
      <c r="X43" s="56"/>
      <c r="Y43" s="56"/>
      <c r="Z43" s="56"/>
      <c r="AA43" s="56" t="s">
        <v>352</v>
      </c>
      <c r="AB43" s="56" t="s">
        <v>320</v>
      </c>
      <c r="AC43" s="56"/>
      <c r="AD43" s="56"/>
      <c r="AE43" s="58"/>
      <c r="AF43" s="56"/>
      <c r="AG43" s="56"/>
      <c r="AH43" s="56"/>
      <c r="AI43" s="56"/>
      <c r="AJ43" s="56"/>
      <c r="AK43" s="56"/>
      <c r="AL43" s="56"/>
      <c r="AM43" s="56"/>
      <c r="AN43" s="56"/>
      <c r="AO43" s="56"/>
      <c r="AP43" s="56"/>
      <c r="AQ43" s="56"/>
      <c r="AR43" s="56"/>
      <c r="AS43" s="56"/>
      <c r="AT43" s="56"/>
      <c r="AU43" s="56"/>
      <c r="AV43" s="56"/>
      <c r="AW43" s="56">
        <v>223</v>
      </c>
      <c r="AX43" s="56" t="s">
        <v>355</v>
      </c>
      <c r="AY43" s="59">
        <v>9094067262</v>
      </c>
      <c r="AZ43" s="56" t="s">
        <v>356</v>
      </c>
      <c r="BA43" s="59">
        <v>7012498633</v>
      </c>
      <c r="BB43" s="66" t="s">
        <v>326</v>
      </c>
      <c r="BC43" s="56">
        <v>2</v>
      </c>
      <c r="BD43" s="88"/>
      <c r="BE43" s="53"/>
      <c r="BF43" s="55"/>
    </row>
    <row r="44" spans="1:58" s="54" customFormat="1" ht="24" customHeight="1" x14ac:dyDescent="0.45">
      <c r="A44" s="53"/>
      <c r="B44" s="57" t="s">
        <v>376</v>
      </c>
      <c r="C44" s="57"/>
      <c r="D44" s="57"/>
      <c r="E44" s="57"/>
      <c r="F44" s="57"/>
      <c r="G44" s="57"/>
      <c r="H44" s="57"/>
      <c r="I44" s="57"/>
      <c r="J44" s="57"/>
      <c r="K44" s="57"/>
      <c r="L44" s="57"/>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t="s">
        <v>377</v>
      </c>
      <c r="AY44" s="59">
        <v>9075866267</v>
      </c>
      <c r="AZ44" s="56" t="s">
        <v>336</v>
      </c>
      <c r="BA44" s="59">
        <v>8039162381</v>
      </c>
      <c r="BB44" s="66" t="s">
        <v>347</v>
      </c>
      <c r="BC44" s="56">
        <v>3</v>
      </c>
      <c r="BD44" s="88"/>
      <c r="BE44" s="53"/>
      <c r="BF44" s="55"/>
    </row>
    <row r="45" spans="1:58" s="54" customFormat="1" ht="24" customHeight="1" x14ac:dyDescent="0.45">
      <c r="A45" s="48"/>
      <c r="B45" s="57" t="s">
        <v>367</v>
      </c>
      <c r="C45" s="57"/>
      <c r="D45" s="57"/>
      <c r="E45" s="57"/>
      <c r="F45" s="57"/>
      <c r="G45" s="57"/>
      <c r="H45" s="57"/>
      <c r="I45" s="57"/>
      <c r="J45" s="57"/>
      <c r="K45" s="57"/>
      <c r="L45" s="57"/>
      <c r="M45" s="56"/>
      <c r="N45" s="56"/>
      <c r="O45" s="56"/>
      <c r="P45" s="58"/>
      <c r="Q45" s="56"/>
      <c r="R45" s="56"/>
      <c r="S45" s="56"/>
      <c r="T45" s="56"/>
      <c r="U45" s="56"/>
      <c r="V45" s="56"/>
      <c r="W45" s="58"/>
      <c r="X45" s="56"/>
      <c r="Y45" s="56"/>
      <c r="Z45" s="56"/>
      <c r="AA45" s="56"/>
      <c r="AB45" s="56"/>
      <c r="AC45" s="56"/>
      <c r="AD45" s="58"/>
      <c r="AE45" s="58"/>
      <c r="AF45" s="56"/>
      <c r="AG45" s="56"/>
      <c r="AH45" s="56"/>
      <c r="AI45" s="56"/>
      <c r="AJ45" s="56"/>
      <c r="AK45" s="56"/>
      <c r="AL45" s="56"/>
      <c r="AM45" s="56"/>
      <c r="AN45" s="56"/>
      <c r="AO45" s="56"/>
      <c r="AP45" s="56"/>
      <c r="AQ45" s="56"/>
      <c r="AR45" s="56"/>
      <c r="AS45" s="56"/>
      <c r="AT45" s="56"/>
      <c r="AU45" s="56"/>
      <c r="AV45" s="56"/>
      <c r="AW45" s="56">
        <v>223</v>
      </c>
      <c r="AX45" s="56" t="s">
        <v>356</v>
      </c>
      <c r="AY45" s="59">
        <v>7012498633</v>
      </c>
      <c r="AZ45" s="56" t="s">
        <v>402</v>
      </c>
      <c r="BA45" s="59">
        <v>9057498087</v>
      </c>
      <c r="BB45" s="66" t="s">
        <v>326</v>
      </c>
      <c r="BC45" s="115"/>
      <c r="BD45" s="88"/>
      <c r="BE45" s="53"/>
      <c r="BF45" s="55"/>
    </row>
    <row r="46" spans="1:58" s="54" customFormat="1" ht="24" customHeight="1" x14ac:dyDescent="0.45">
      <c r="A46" s="48"/>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88"/>
      <c r="BE46" s="53"/>
      <c r="BF46" s="55"/>
    </row>
    <row r="47" spans="1:58" s="54" customFormat="1" ht="26.4" customHeight="1" x14ac:dyDescent="0.45">
      <c r="A47" s="72">
        <v>18</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88"/>
      <c r="BE47" s="53"/>
      <c r="BF47" s="55"/>
    </row>
    <row r="48" spans="1:58" s="54" customFormat="1" ht="26.4" customHeight="1" x14ac:dyDescent="0.45">
      <c r="A48" s="72">
        <v>19</v>
      </c>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row>
    <row r="49" spans="1:58" s="54" customFormat="1" ht="26.4" customHeight="1" x14ac:dyDescent="0.45">
      <c r="A49" s="72">
        <v>20</v>
      </c>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0" spans="1:58" s="54" customFormat="1" ht="26.4" customHeight="1" x14ac:dyDescent="0.45">
      <c r="A50" s="72">
        <v>21</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6.4" customHeight="1" x14ac:dyDescent="0.45">
      <c r="A51" s="72">
        <v>22</v>
      </c>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2" spans="1:58" s="54" customFormat="1" ht="26.4" customHeight="1" x14ac:dyDescent="0.45">
      <c r="A52" s="72">
        <v>23</v>
      </c>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row>
    <row r="53" spans="1:58" s="54" customFormat="1" ht="21.6"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row>
    <row r="54" spans="1:58" s="54" customFormat="1" ht="21.6"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row>
    <row r="55" spans="1:58" s="54" customFormat="1" ht="21.6" x14ac:dyDescent="0.45">
      <c r="A55" s="48"/>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70"/>
      <c r="BC55" s="116"/>
      <c r="BD55" s="70"/>
      <c r="BE55" s="53"/>
    </row>
    <row r="56" spans="1:58" s="54" customFormat="1" ht="21.6"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row r="59" spans="1:58" s="54" customFormat="1" ht="26.4" customHeight="1" x14ac:dyDescent="0.45">
      <c r="A59" s="48"/>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70"/>
      <c r="BC59" s="116"/>
      <c r="BD59" s="70"/>
      <c r="BE59" s="53"/>
      <c r="BF59" s="55"/>
    </row>
    <row r="60" spans="1:58" s="54" customFormat="1" ht="26.4" customHeight="1" x14ac:dyDescent="0.45">
      <c r="A60" s="48"/>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70"/>
      <c r="BC60" s="116"/>
      <c r="BD60" s="70"/>
      <c r="BE60" s="53"/>
      <c r="BF60" s="55"/>
    </row>
    <row r="61" spans="1:58" s="54" customFormat="1" ht="26.4" customHeight="1" x14ac:dyDescent="0.45">
      <c r="A61" s="48"/>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70"/>
      <c r="BC61" s="116"/>
      <c r="BD61" s="70"/>
      <c r="BE61" s="53"/>
      <c r="BF61" s="55"/>
    </row>
    <row r="62" spans="1:58" s="54" customFormat="1" ht="26.4" customHeight="1" x14ac:dyDescent="0.45">
      <c r="A62" s="48"/>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70"/>
      <c r="BC62" s="116"/>
      <c r="BD62" s="70"/>
      <c r="BE62" s="53"/>
      <c r="BF62" s="55"/>
    </row>
    <row r="63" spans="1:58" s="54" customFormat="1" ht="26.4" customHeight="1" x14ac:dyDescent="0.45">
      <c r="A63" s="48"/>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70"/>
      <c r="BC63" s="116"/>
      <c r="BD63" s="70"/>
      <c r="BE63" s="53"/>
      <c r="BF63" s="55"/>
    </row>
  </sheetData>
  <mergeCells count="19">
    <mergeCell ref="AW3:AW4"/>
    <mergeCell ref="P1:R2"/>
    <mergeCell ref="S1:S2"/>
    <mergeCell ref="T1:U2"/>
    <mergeCell ref="V1:AN2"/>
    <mergeCell ref="AQ1:AV1"/>
    <mergeCell ref="AO2:AV2"/>
    <mergeCell ref="A3:A4"/>
    <mergeCell ref="B3:B4"/>
    <mergeCell ref="C3:J4"/>
    <mergeCell ref="K3:L4"/>
    <mergeCell ref="AV3:AV4"/>
    <mergeCell ref="BD3:BD4"/>
    <mergeCell ref="AX3:AX4"/>
    <mergeCell ref="AY3:AY4"/>
    <mergeCell ref="AZ3:AZ4"/>
    <mergeCell ref="BA3:BA4"/>
    <mergeCell ref="BB3:BB4"/>
    <mergeCell ref="BC3:BC4"/>
  </mergeCells>
  <phoneticPr fontId="1"/>
  <conditionalFormatting sqref="M22:U22 Y22:AQ22">
    <cfRule type="cellIs" dxfId="33" priority="5" operator="equal">
      <formula>"お"</formula>
    </cfRule>
    <cfRule type="cellIs" dxfId="32" priority="6" operator="equal">
      <formula>"夕"</formula>
    </cfRule>
  </conditionalFormatting>
  <conditionalFormatting sqref="M8:AJ8 AL8:AQ8">
    <cfRule type="cellIs" dxfId="31" priority="27" operator="equal">
      <formula>"""夕"""</formula>
    </cfRule>
  </conditionalFormatting>
  <conditionalFormatting sqref="M5:AQ7 M8:AJ8 AL8:AQ8 AQ14">
    <cfRule type="cellIs" dxfId="30" priority="25" operator="equal">
      <formula>"お"</formula>
    </cfRule>
    <cfRule type="cellIs" dxfId="29" priority="26" operator="equal">
      <formula>"夕"</formula>
    </cfRule>
  </conditionalFormatting>
  <conditionalFormatting sqref="M9:AQ13 M14:AM14">
    <cfRule type="cellIs" dxfId="28" priority="21" operator="equal">
      <formula>"お"</formula>
    </cfRule>
    <cfRule type="cellIs" dxfId="27" priority="22" operator="equal">
      <formula>"夕"</formula>
    </cfRule>
  </conditionalFormatting>
  <conditionalFormatting sqref="M15:AQ21">
    <cfRule type="cellIs" dxfId="26" priority="1" operator="equal">
      <formula>"お"</formula>
    </cfRule>
    <cfRule type="cellIs" dxfId="25" priority="2" operator="equal">
      <formula>"夕"</formula>
    </cfRule>
  </conditionalFormatting>
  <conditionalFormatting sqref="M23:AQ29">
    <cfRule type="cellIs" dxfId="1" priority="7" operator="equal">
      <formula>"お"</formula>
    </cfRule>
    <cfRule type="cellIs" dxfId="0" priority="8" operator="equal">
      <formula>"夕"</formula>
    </cfRule>
  </conditionalFormatting>
  <conditionalFormatting sqref="M4:AU4">
    <cfRule type="cellIs" dxfId="24" priority="30" operator="equal">
      <formula>"土"</formula>
    </cfRule>
    <cfRule type="cellIs" dxfId="23" priority="31" operator="equal">
      <formula>"日"</formula>
    </cfRule>
  </conditionalFormatting>
  <conditionalFormatting sqref="M30:AU30">
    <cfRule type="cellIs" dxfId="22" priority="28" operator="greaterThan">
      <formula>7</formula>
    </cfRule>
    <cfRule type="cellIs" dxfId="21" priority="29" operator="greaterThan">
      <formula>6</formula>
    </cfRule>
  </conditionalFormatting>
  <conditionalFormatting sqref="M41:AW45">
    <cfRule type="cellIs" dxfId="20" priority="23" operator="equal">
      <formula>"お"</formula>
    </cfRule>
    <cfRule type="cellIs" dxfId="19" priority="24" operator="equal">
      <formula>"夕"</formula>
    </cfRule>
  </conditionalFormatting>
  <conditionalFormatting sqref="AR5:AW29">
    <cfRule type="cellIs" dxfId="18" priority="3" operator="equal">
      <formula>"お"</formula>
    </cfRule>
    <cfRule type="cellIs" dxfId="17" priority="4"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9" scale="6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4C39-49CE-4255-943A-71F47F0D5483}">
  <dimension ref="A1:BF61"/>
  <sheetViews>
    <sheetView zoomScale="70" zoomScaleNormal="70" workbookViewId="0">
      <pane ySplit="4" topLeftCell="A5" activePane="bottomLeft" state="frozen"/>
      <selection pane="bottomLeft" activeCell="AI21" sqref="AI21"/>
    </sheetView>
  </sheetViews>
  <sheetFormatPr defaultColWidth="8.69921875" defaultRowHeight="18" x14ac:dyDescent="0.45"/>
  <cols>
    <col min="1" max="1" width="4.69921875" style="48" customWidth="1"/>
    <col min="2" max="2" width="17.8984375" style="32" customWidth="1"/>
    <col min="3" max="12" width="3.19921875" style="32" hidden="1" customWidth="1"/>
    <col min="13" max="43" width="4.19921875" style="32" customWidth="1"/>
    <col min="44" max="47" width="4.19921875" style="32" hidden="1" customWidth="1"/>
    <col min="48" max="48" width="5.19921875" style="32" customWidth="1"/>
    <col min="49" max="49" width="6.59765625" style="32" customWidth="1"/>
    <col min="50" max="50" width="20.19921875" style="32" customWidth="1"/>
    <col min="51" max="51" width="19" style="32" customWidth="1"/>
    <col min="52" max="52" width="19.59765625" style="32" customWidth="1"/>
    <col min="53" max="53" width="19.19921875" style="32" customWidth="1"/>
    <col min="54" max="54" width="8.69921875" style="70" customWidth="1"/>
    <col min="55" max="55" width="5.3984375" style="116" customWidth="1"/>
    <col min="56" max="56" width="16" style="70" customWidth="1"/>
    <col min="57" max="57" width="12.69921875" style="49" customWidth="1"/>
    <col min="58" max="58" width="27.69921875" style="32" customWidth="1"/>
    <col min="59" max="16384" width="8.69921875" style="32"/>
  </cols>
  <sheetData>
    <row r="1" spans="1:58" ht="22.2" customHeight="1" x14ac:dyDescent="0.45">
      <c r="P1" s="172">
        <v>2026</v>
      </c>
      <c r="Q1" s="172"/>
      <c r="R1" s="172"/>
      <c r="S1" s="172" t="s">
        <v>304</v>
      </c>
      <c r="T1" s="172">
        <v>9</v>
      </c>
      <c r="U1" s="172"/>
      <c r="V1" s="172" t="s">
        <v>305</v>
      </c>
      <c r="W1" s="172"/>
      <c r="X1" s="172"/>
      <c r="Y1" s="172"/>
      <c r="Z1" s="172"/>
      <c r="AA1" s="172"/>
      <c r="AB1" s="172"/>
      <c r="AC1" s="172"/>
      <c r="AD1" s="172"/>
      <c r="AE1" s="172"/>
      <c r="AF1" s="172"/>
      <c r="AG1" s="172"/>
      <c r="AH1" s="172"/>
      <c r="AI1" s="172"/>
      <c r="AJ1" s="172"/>
      <c r="AK1" s="172"/>
      <c r="AL1" s="172"/>
      <c r="AM1" s="172"/>
      <c r="AN1" s="172"/>
      <c r="AO1" s="154"/>
      <c r="AP1" s="51"/>
      <c r="AQ1" s="174" t="s">
        <v>306</v>
      </c>
      <c r="AR1" s="175"/>
      <c r="AS1" s="175"/>
      <c r="AT1" s="175"/>
      <c r="AU1" s="175"/>
      <c r="AV1" s="175"/>
      <c r="AW1" s="156"/>
      <c r="BE1" s="32"/>
    </row>
    <row r="2" spans="1:58" s="46" customFormat="1" ht="24.6" customHeight="1" x14ac:dyDescent="0.55000000000000004">
      <c r="A2" s="154"/>
      <c r="O2" s="47"/>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6" t="s">
        <v>307</v>
      </c>
      <c r="AP2" s="177"/>
      <c r="AQ2" s="177"/>
      <c r="AR2" s="177"/>
      <c r="AS2" s="177"/>
      <c r="AT2" s="177"/>
      <c r="AU2" s="177"/>
      <c r="AV2" s="177"/>
      <c r="AW2" s="93"/>
      <c r="AX2" s="60" t="s">
        <v>308</v>
      </c>
      <c r="AY2" s="50"/>
      <c r="AZ2" s="50"/>
      <c r="BA2" s="50"/>
      <c r="BB2" s="71"/>
      <c r="BC2" s="117"/>
      <c r="BD2" s="71"/>
      <c r="BE2" s="154"/>
    </row>
    <row r="3" spans="1:58" s="53" customFormat="1" ht="26.4" customHeight="1" x14ac:dyDescent="0.45">
      <c r="A3" s="168"/>
      <c r="B3" s="170" t="s">
        <v>0</v>
      </c>
      <c r="C3" s="165" t="s">
        <v>309</v>
      </c>
      <c r="D3" s="165"/>
      <c r="E3" s="165"/>
      <c r="F3" s="165"/>
      <c r="G3" s="165"/>
      <c r="H3" s="165"/>
      <c r="I3" s="165"/>
      <c r="J3" s="165"/>
      <c r="K3" s="165" t="s">
        <v>310</v>
      </c>
      <c r="L3" s="165"/>
      <c r="M3" s="52">
        <f>BE4</f>
        <v>46266</v>
      </c>
      <c r="N3" s="52">
        <f t="shared" ref="N3:AQ3" si="0">IF(M3=$BE$6,"",IF(M3="","",M3+1))</f>
        <v>46267</v>
      </c>
      <c r="O3" s="52">
        <f t="shared" si="0"/>
        <v>46268</v>
      </c>
      <c r="P3" s="52">
        <f t="shared" si="0"/>
        <v>46269</v>
      </c>
      <c r="Q3" s="52">
        <f t="shared" si="0"/>
        <v>46270</v>
      </c>
      <c r="R3" s="52">
        <f t="shared" si="0"/>
        <v>46271</v>
      </c>
      <c r="S3" s="52">
        <f t="shared" si="0"/>
        <v>46272</v>
      </c>
      <c r="T3" s="52">
        <f t="shared" si="0"/>
        <v>46273</v>
      </c>
      <c r="U3" s="52">
        <f t="shared" si="0"/>
        <v>46274</v>
      </c>
      <c r="V3" s="52">
        <f t="shared" si="0"/>
        <v>46275</v>
      </c>
      <c r="W3" s="52">
        <f t="shared" si="0"/>
        <v>46276</v>
      </c>
      <c r="X3" s="52">
        <f t="shared" si="0"/>
        <v>46277</v>
      </c>
      <c r="Y3" s="52">
        <f t="shared" si="0"/>
        <v>46278</v>
      </c>
      <c r="Z3" s="52">
        <f t="shared" si="0"/>
        <v>46279</v>
      </c>
      <c r="AA3" s="52">
        <f t="shared" si="0"/>
        <v>46280</v>
      </c>
      <c r="AB3" s="52">
        <f t="shared" si="0"/>
        <v>46281</v>
      </c>
      <c r="AC3" s="52">
        <f t="shared" si="0"/>
        <v>46282</v>
      </c>
      <c r="AD3" s="52">
        <f t="shared" si="0"/>
        <v>46283</v>
      </c>
      <c r="AE3" s="52">
        <f t="shared" si="0"/>
        <v>46284</v>
      </c>
      <c r="AF3" s="52">
        <f t="shared" si="0"/>
        <v>46285</v>
      </c>
      <c r="AG3" s="52">
        <f t="shared" si="0"/>
        <v>46286</v>
      </c>
      <c r="AH3" s="52">
        <f t="shared" si="0"/>
        <v>46287</v>
      </c>
      <c r="AI3" s="52">
        <f t="shared" si="0"/>
        <v>46288</v>
      </c>
      <c r="AJ3" s="52">
        <f t="shared" si="0"/>
        <v>46289</v>
      </c>
      <c r="AK3" s="52">
        <f t="shared" si="0"/>
        <v>46290</v>
      </c>
      <c r="AL3" s="52">
        <f t="shared" si="0"/>
        <v>46291</v>
      </c>
      <c r="AM3" s="52">
        <f t="shared" si="0"/>
        <v>46292</v>
      </c>
      <c r="AN3" s="52">
        <f t="shared" si="0"/>
        <v>46293</v>
      </c>
      <c r="AO3" s="52">
        <f t="shared" si="0"/>
        <v>46294</v>
      </c>
      <c r="AP3" s="52">
        <f t="shared" si="0"/>
        <v>46295</v>
      </c>
      <c r="AQ3" s="52" t="str">
        <f t="shared" si="0"/>
        <v/>
      </c>
      <c r="AR3" s="52"/>
      <c r="AS3" s="52"/>
      <c r="AT3" s="52"/>
      <c r="AU3" s="52"/>
      <c r="AV3" s="165" t="s">
        <v>311</v>
      </c>
      <c r="AW3" s="170" t="s">
        <v>312</v>
      </c>
      <c r="AX3" s="165" t="s">
        <v>313</v>
      </c>
      <c r="AY3" s="165" t="s">
        <v>314</v>
      </c>
      <c r="AZ3" s="165" t="s">
        <v>315</v>
      </c>
      <c r="BA3" s="165" t="s">
        <v>314</v>
      </c>
      <c r="BB3" s="164" t="s">
        <v>316</v>
      </c>
      <c r="BC3" s="166" t="s">
        <v>4</v>
      </c>
      <c r="BD3" s="164" t="s">
        <v>5</v>
      </c>
      <c r="BE3" s="61" t="s">
        <v>317</v>
      </c>
      <c r="BF3" s="54"/>
    </row>
    <row r="4" spans="1:58" s="54" customFormat="1" ht="26.4" customHeight="1" x14ac:dyDescent="0.45">
      <c r="A4" s="169"/>
      <c r="B4" s="171"/>
      <c r="C4" s="165"/>
      <c r="D4" s="165"/>
      <c r="E4" s="165"/>
      <c r="F4" s="165"/>
      <c r="G4" s="165"/>
      <c r="H4" s="165"/>
      <c r="I4" s="165"/>
      <c r="J4" s="165"/>
      <c r="K4" s="165"/>
      <c r="L4" s="165"/>
      <c r="M4" s="153" t="str">
        <f t="shared" ref="M4:AQ4" si="1">IF(M3="","",TEXT(M3,"aaa"))</f>
        <v>火</v>
      </c>
      <c r="N4" s="153" t="str">
        <f t="shared" si="1"/>
        <v>水</v>
      </c>
      <c r="O4" s="153" t="str">
        <f t="shared" si="1"/>
        <v>木</v>
      </c>
      <c r="P4" s="153" t="str">
        <f t="shared" si="1"/>
        <v>金</v>
      </c>
      <c r="Q4" s="153" t="str">
        <f t="shared" si="1"/>
        <v>土</v>
      </c>
      <c r="R4" s="153" t="str">
        <f t="shared" si="1"/>
        <v>日</v>
      </c>
      <c r="S4" s="153" t="str">
        <f t="shared" si="1"/>
        <v>月</v>
      </c>
      <c r="T4" s="153" t="str">
        <f t="shared" si="1"/>
        <v>火</v>
      </c>
      <c r="U4" s="153" t="str">
        <f t="shared" si="1"/>
        <v>水</v>
      </c>
      <c r="V4" s="153" t="str">
        <f t="shared" si="1"/>
        <v>木</v>
      </c>
      <c r="W4" s="153" t="str">
        <f t="shared" si="1"/>
        <v>金</v>
      </c>
      <c r="X4" s="153" t="str">
        <f t="shared" si="1"/>
        <v>土</v>
      </c>
      <c r="Y4" s="153" t="str">
        <f t="shared" si="1"/>
        <v>日</v>
      </c>
      <c r="Z4" s="153" t="str">
        <f t="shared" si="1"/>
        <v>月</v>
      </c>
      <c r="AA4" s="153" t="str">
        <f t="shared" si="1"/>
        <v>火</v>
      </c>
      <c r="AB4" s="153" t="str">
        <f t="shared" si="1"/>
        <v>水</v>
      </c>
      <c r="AC4" s="153" t="str">
        <f t="shared" si="1"/>
        <v>木</v>
      </c>
      <c r="AD4" s="153" t="str">
        <f t="shared" si="1"/>
        <v>金</v>
      </c>
      <c r="AE4" s="153" t="str">
        <f t="shared" si="1"/>
        <v>土</v>
      </c>
      <c r="AF4" s="153" t="str">
        <f t="shared" si="1"/>
        <v>日</v>
      </c>
      <c r="AG4" s="153" t="str">
        <f t="shared" si="1"/>
        <v>月</v>
      </c>
      <c r="AH4" s="153" t="str">
        <f t="shared" si="1"/>
        <v>火</v>
      </c>
      <c r="AI4" s="153" t="str">
        <f t="shared" si="1"/>
        <v>水</v>
      </c>
      <c r="AJ4" s="153" t="str">
        <f t="shared" si="1"/>
        <v>木</v>
      </c>
      <c r="AK4" s="153" t="str">
        <f t="shared" si="1"/>
        <v>金</v>
      </c>
      <c r="AL4" s="153" t="str">
        <f t="shared" si="1"/>
        <v>土</v>
      </c>
      <c r="AM4" s="153" t="str">
        <f t="shared" si="1"/>
        <v>日</v>
      </c>
      <c r="AN4" s="153" t="str">
        <f t="shared" si="1"/>
        <v>月</v>
      </c>
      <c r="AO4" s="153" t="str">
        <f t="shared" si="1"/>
        <v>火</v>
      </c>
      <c r="AP4" s="153" t="str">
        <f t="shared" si="1"/>
        <v>水</v>
      </c>
      <c r="AQ4" s="153" t="str">
        <f t="shared" si="1"/>
        <v/>
      </c>
      <c r="AR4" s="153" t="s">
        <v>318</v>
      </c>
      <c r="AS4" s="153" t="s">
        <v>319</v>
      </c>
      <c r="AT4" s="153" t="s">
        <v>320</v>
      </c>
      <c r="AU4" s="153" t="s">
        <v>321</v>
      </c>
      <c r="AV4" s="165"/>
      <c r="AW4" s="171"/>
      <c r="AX4" s="165"/>
      <c r="AY4" s="165"/>
      <c r="AZ4" s="165"/>
      <c r="BA4" s="165"/>
      <c r="BB4" s="164"/>
      <c r="BC4" s="167"/>
      <c r="BD4" s="164"/>
      <c r="BE4" s="62">
        <f>DATE(P1,T1,1)</f>
        <v>46266</v>
      </c>
      <c r="BF4" s="55"/>
    </row>
    <row r="5" spans="1:58" s="54" customFormat="1" ht="24" customHeight="1" x14ac:dyDescent="0.45">
      <c r="A5" s="72">
        <v>1</v>
      </c>
      <c r="B5" s="57" t="s">
        <v>322</v>
      </c>
      <c r="C5" s="57"/>
      <c r="D5" s="57"/>
      <c r="E5" s="57"/>
      <c r="F5" s="57"/>
      <c r="G5" s="57"/>
      <c r="H5" s="57"/>
      <c r="I5" s="57"/>
      <c r="J5" s="57"/>
      <c r="K5" s="57"/>
      <c r="L5" s="57"/>
      <c r="M5" s="56" t="str">
        <f>IF(M$4="土","昼",IF(M$4="日","○",IF(M$4="月","夕","")))</f>
        <v/>
      </c>
      <c r="N5" s="56" t="str">
        <f t="shared" ref="N5:AQ5" si="2">IF(N$4="土","昼",IF(N$4="日","○",IF(N$4="月","夕","")))</f>
        <v/>
      </c>
      <c r="O5" s="56" t="str">
        <f t="shared" si="2"/>
        <v/>
      </c>
      <c r="P5" s="56" t="str">
        <f t="shared" si="2"/>
        <v/>
      </c>
      <c r="Q5" s="56" t="str">
        <f t="shared" si="2"/>
        <v>昼</v>
      </c>
      <c r="R5" s="56" t="str">
        <f t="shared" si="2"/>
        <v>○</v>
      </c>
      <c r="S5" s="56" t="str">
        <f t="shared" si="2"/>
        <v>夕</v>
      </c>
      <c r="T5" s="56" t="str">
        <f t="shared" si="2"/>
        <v/>
      </c>
      <c r="U5" s="56" t="str">
        <f t="shared" si="2"/>
        <v/>
      </c>
      <c r="V5" s="56" t="str">
        <f t="shared" si="2"/>
        <v/>
      </c>
      <c r="W5" s="56" t="str">
        <f t="shared" si="2"/>
        <v/>
      </c>
      <c r="X5" s="56" t="str">
        <f t="shared" si="2"/>
        <v>昼</v>
      </c>
      <c r="Y5" s="56" t="str">
        <f t="shared" si="2"/>
        <v>○</v>
      </c>
      <c r="Z5" s="56" t="str">
        <f t="shared" si="2"/>
        <v>夕</v>
      </c>
      <c r="AA5" s="56" t="str">
        <f t="shared" si="2"/>
        <v/>
      </c>
      <c r="AB5" s="56" t="str">
        <f t="shared" si="2"/>
        <v/>
      </c>
      <c r="AC5" s="56" t="str">
        <f t="shared" si="2"/>
        <v/>
      </c>
      <c r="AD5" s="56" t="str">
        <f t="shared" si="2"/>
        <v/>
      </c>
      <c r="AE5" s="56" t="str">
        <f t="shared" si="2"/>
        <v>昼</v>
      </c>
      <c r="AF5" s="56" t="str">
        <f t="shared" si="2"/>
        <v>○</v>
      </c>
      <c r="AG5" s="56" t="str">
        <f t="shared" si="2"/>
        <v>夕</v>
      </c>
      <c r="AH5" s="56" t="str">
        <f t="shared" si="2"/>
        <v/>
      </c>
      <c r="AI5" s="56" t="str">
        <f t="shared" si="2"/>
        <v/>
      </c>
      <c r="AJ5" s="56" t="str">
        <f t="shared" si="2"/>
        <v/>
      </c>
      <c r="AK5" s="56" t="str">
        <f t="shared" si="2"/>
        <v/>
      </c>
      <c r="AL5" s="56" t="str">
        <f t="shared" si="2"/>
        <v>昼</v>
      </c>
      <c r="AM5" s="56" t="str">
        <f t="shared" si="2"/>
        <v>○</v>
      </c>
      <c r="AN5" s="56" t="str">
        <f t="shared" si="2"/>
        <v>夕</v>
      </c>
      <c r="AO5" s="56" t="str">
        <f t="shared" si="2"/>
        <v/>
      </c>
      <c r="AP5" s="56" t="str">
        <f t="shared" si="2"/>
        <v/>
      </c>
      <c r="AQ5" s="56" t="str">
        <f t="shared" si="2"/>
        <v/>
      </c>
      <c r="AR5" s="56">
        <f t="shared" ref="AR5:AR26" si="3">IF(COUNTIF($M5:$AQ5,"昼")=0,"",COUNTIF($M5:$AQ5,"昼"))</f>
        <v>4</v>
      </c>
      <c r="AS5" s="56">
        <f t="shared" ref="AS5:AS26" si="4">IF(COUNTIF($M5:$AQ5,"○")=0,"",COUNTIF($M5:$AQ5,"○"))</f>
        <v>4</v>
      </c>
      <c r="AT5" s="56" t="str">
        <f t="shared" ref="AT5:AT26" si="5">IF(COUNTIF($M5:$AQ5,"お")=0,"",COUNTIF($M5:$AQ5,"お"))</f>
        <v/>
      </c>
      <c r="AU5" s="56">
        <f t="shared" ref="AU5:AU26" si="6">IF(COUNTIF($M5:$AQ5,"夕")=0,"",COUNTIF($M5:$AQ5,"夕"))</f>
        <v>4</v>
      </c>
      <c r="AV5" s="56">
        <f t="shared" ref="AV5:AV26" si="7">IF(COUNTA(M5:AQ5)=0,"",SUM(AR5:AU5))</f>
        <v>12</v>
      </c>
      <c r="AW5" s="56" t="s">
        <v>323</v>
      </c>
      <c r="AX5" s="59" t="s">
        <v>324</v>
      </c>
      <c r="AY5" s="59">
        <v>8025513822</v>
      </c>
      <c r="AZ5" s="59" t="s">
        <v>325</v>
      </c>
      <c r="BA5" s="59">
        <v>8027251721</v>
      </c>
      <c r="BB5" s="66" t="s">
        <v>326</v>
      </c>
      <c r="BC5" s="56">
        <v>3</v>
      </c>
      <c r="BD5" s="88"/>
      <c r="BE5" s="61" t="s">
        <v>327</v>
      </c>
      <c r="BF5" s="55" t="s">
        <v>328</v>
      </c>
    </row>
    <row r="6" spans="1:58" s="54" customFormat="1" ht="24" customHeight="1" x14ac:dyDescent="0.45">
      <c r="A6" s="72">
        <v>2</v>
      </c>
      <c r="B6" s="57" t="s">
        <v>329</v>
      </c>
      <c r="C6" s="57"/>
      <c r="D6" s="57"/>
      <c r="E6" s="57"/>
      <c r="F6" s="57"/>
      <c r="G6" s="57"/>
      <c r="H6" s="57"/>
      <c r="I6" s="57"/>
      <c r="J6" s="57"/>
      <c r="K6" s="57"/>
      <c r="L6" s="57"/>
      <c r="M6" s="56" t="str">
        <f>IF(M$4="土","昼",IF(M$4="日","夕",""))</f>
        <v/>
      </c>
      <c r="N6" s="56" t="str">
        <f t="shared" ref="N6:AQ6" si="8">IF(N$4="土","昼",IF(N$4="日","夕",""))</f>
        <v/>
      </c>
      <c r="O6" s="56" t="str">
        <f t="shared" si="8"/>
        <v/>
      </c>
      <c r="P6" s="56" t="str">
        <f t="shared" si="8"/>
        <v/>
      </c>
      <c r="Q6" s="56" t="str">
        <f t="shared" si="8"/>
        <v>昼</v>
      </c>
      <c r="R6" s="56" t="str">
        <f t="shared" si="8"/>
        <v>夕</v>
      </c>
      <c r="S6" s="56" t="str">
        <f t="shared" si="8"/>
        <v/>
      </c>
      <c r="T6" s="56" t="str">
        <f t="shared" si="8"/>
        <v/>
      </c>
      <c r="U6" s="56" t="str">
        <f t="shared" si="8"/>
        <v/>
      </c>
      <c r="V6" s="56" t="str">
        <f t="shared" si="8"/>
        <v/>
      </c>
      <c r="W6" s="56" t="str">
        <f t="shared" si="8"/>
        <v/>
      </c>
      <c r="X6" s="56" t="str">
        <f t="shared" si="8"/>
        <v>昼</v>
      </c>
      <c r="Y6" s="56" t="str">
        <f t="shared" si="8"/>
        <v>夕</v>
      </c>
      <c r="Z6" s="56" t="str">
        <f t="shared" si="8"/>
        <v/>
      </c>
      <c r="AA6" s="56" t="str">
        <f t="shared" si="8"/>
        <v/>
      </c>
      <c r="AB6" s="56" t="str">
        <f t="shared" si="8"/>
        <v/>
      </c>
      <c r="AC6" s="56" t="str">
        <f t="shared" si="8"/>
        <v/>
      </c>
      <c r="AD6" s="56" t="str">
        <f t="shared" si="8"/>
        <v/>
      </c>
      <c r="AE6" s="56" t="str">
        <f t="shared" si="8"/>
        <v>昼</v>
      </c>
      <c r="AF6" s="56" t="str">
        <f t="shared" si="8"/>
        <v>夕</v>
      </c>
      <c r="AG6" s="56" t="str">
        <f t="shared" si="8"/>
        <v/>
      </c>
      <c r="AH6" s="56" t="str">
        <f t="shared" si="8"/>
        <v/>
      </c>
      <c r="AI6" s="56" t="str">
        <f t="shared" si="8"/>
        <v/>
      </c>
      <c r="AJ6" s="56" t="str">
        <f t="shared" si="8"/>
        <v/>
      </c>
      <c r="AK6" s="56" t="str">
        <f t="shared" si="8"/>
        <v/>
      </c>
      <c r="AL6" s="56" t="str">
        <f t="shared" si="8"/>
        <v>昼</v>
      </c>
      <c r="AM6" s="56" t="str">
        <f t="shared" si="8"/>
        <v>夕</v>
      </c>
      <c r="AN6" s="56" t="str">
        <f t="shared" si="8"/>
        <v/>
      </c>
      <c r="AO6" s="56" t="str">
        <f t="shared" si="8"/>
        <v/>
      </c>
      <c r="AP6" s="56" t="str">
        <f t="shared" si="8"/>
        <v/>
      </c>
      <c r="AQ6" s="56" t="str">
        <f t="shared" si="8"/>
        <v/>
      </c>
      <c r="AR6" s="56">
        <f t="shared" si="3"/>
        <v>4</v>
      </c>
      <c r="AS6" s="56" t="str">
        <f t="shared" si="4"/>
        <v/>
      </c>
      <c r="AT6" s="56" t="str">
        <f t="shared" si="5"/>
        <v/>
      </c>
      <c r="AU6" s="56">
        <f t="shared" si="6"/>
        <v>4</v>
      </c>
      <c r="AV6" s="56">
        <f t="shared" si="7"/>
        <v>8</v>
      </c>
      <c r="AW6" s="56" t="s">
        <v>330</v>
      </c>
      <c r="AX6" s="59" t="s">
        <v>331</v>
      </c>
      <c r="AY6" s="59">
        <v>9086202017</v>
      </c>
      <c r="AZ6" s="59" t="s">
        <v>332</v>
      </c>
      <c r="BA6" s="59">
        <v>9068675997</v>
      </c>
      <c r="BB6" s="66" t="s">
        <v>326</v>
      </c>
      <c r="BC6" s="56">
        <v>4</v>
      </c>
      <c r="BD6" s="88"/>
      <c r="BE6" s="62">
        <f>DATE(P1,T1+1,1)-1</f>
        <v>46295</v>
      </c>
      <c r="BF6" s="55" t="s">
        <v>333</v>
      </c>
    </row>
    <row r="7" spans="1:58" s="54" customFormat="1" ht="24" customHeight="1" x14ac:dyDescent="0.45">
      <c r="A7" s="72">
        <v>3</v>
      </c>
      <c r="B7" s="57" t="s">
        <v>334</v>
      </c>
      <c r="C7" s="57"/>
      <c r="D7" s="57"/>
      <c r="E7" s="57"/>
      <c r="F7" s="57"/>
      <c r="G7" s="57"/>
      <c r="H7" s="57"/>
      <c r="I7" s="57"/>
      <c r="J7" s="57"/>
      <c r="K7" s="57"/>
      <c r="L7" s="57"/>
      <c r="M7" s="56" t="str">
        <f>IF(M$4="金","昼",IF(M$4="土","○",IF(M$4="日","○",IF(M$4="月","お",""))))</f>
        <v/>
      </c>
      <c r="N7" s="56" t="str">
        <f t="shared" ref="N7:AQ7" si="9">IF(N$4="金","昼",IF(N$4="土","○",IF(N$4="日","○",IF(N$4="月","お",""))))</f>
        <v/>
      </c>
      <c r="O7" s="56" t="str">
        <f t="shared" si="9"/>
        <v/>
      </c>
      <c r="P7" s="56" t="str">
        <f t="shared" si="9"/>
        <v>昼</v>
      </c>
      <c r="Q7" s="56" t="str">
        <f t="shared" si="9"/>
        <v>○</v>
      </c>
      <c r="R7" s="56" t="str">
        <f t="shared" si="9"/>
        <v>○</v>
      </c>
      <c r="S7" s="56" t="str">
        <f t="shared" si="9"/>
        <v>お</v>
      </c>
      <c r="T7" s="56" t="str">
        <f t="shared" si="9"/>
        <v/>
      </c>
      <c r="U7" s="56" t="str">
        <f t="shared" si="9"/>
        <v/>
      </c>
      <c r="V7" s="56" t="str">
        <f t="shared" si="9"/>
        <v/>
      </c>
      <c r="W7" s="56" t="str">
        <f t="shared" si="9"/>
        <v>昼</v>
      </c>
      <c r="X7" s="56" t="str">
        <f t="shared" si="9"/>
        <v>○</v>
      </c>
      <c r="Y7" s="56" t="str">
        <f t="shared" si="9"/>
        <v>○</v>
      </c>
      <c r="Z7" s="56" t="str">
        <f t="shared" si="9"/>
        <v>お</v>
      </c>
      <c r="AA7" s="56" t="str">
        <f t="shared" si="9"/>
        <v/>
      </c>
      <c r="AB7" s="56" t="str">
        <f t="shared" si="9"/>
        <v/>
      </c>
      <c r="AC7" s="56" t="str">
        <f t="shared" si="9"/>
        <v/>
      </c>
      <c r="AD7" s="56" t="str">
        <f t="shared" si="9"/>
        <v>昼</v>
      </c>
      <c r="AE7" s="56" t="str">
        <f t="shared" si="9"/>
        <v>○</v>
      </c>
      <c r="AF7" s="56" t="str">
        <f t="shared" si="9"/>
        <v>○</v>
      </c>
      <c r="AG7" s="56" t="str">
        <f t="shared" si="9"/>
        <v>お</v>
      </c>
      <c r="AH7" s="56" t="str">
        <f t="shared" si="9"/>
        <v/>
      </c>
      <c r="AI7" s="56" t="str">
        <f t="shared" si="9"/>
        <v/>
      </c>
      <c r="AJ7" s="56" t="str">
        <f t="shared" si="9"/>
        <v/>
      </c>
      <c r="AK7" s="56" t="str">
        <f t="shared" si="9"/>
        <v>昼</v>
      </c>
      <c r="AL7" s="56" t="str">
        <f t="shared" si="9"/>
        <v>○</v>
      </c>
      <c r="AM7" s="56" t="str">
        <f t="shared" si="9"/>
        <v>○</v>
      </c>
      <c r="AN7" s="56" t="str">
        <f t="shared" si="9"/>
        <v>お</v>
      </c>
      <c r="AO7" s="56" t="str">
        <f t="shared" si="9"/>
        <v/>
      </c>
      <c r="AP7" s="56" t="str">
        <f t="shared" si="9"/>
        <v/>
      </c>
      <c r="AQ7" s="56" t="str">
        <f t="shared" si="9"/>
        <v/>
      </c>
      <c r="AR7" s="56">
        <f t="shared" si="3"/>
        <v>4</v>
      </c>
      <c r="AS7" s="56">
        <f t="shared" si="4"/>
        <v>8</v>
      </c>
      <c r="AT7" s="56">
        <f t="shared" si="5"/>
        <v>4</v>
      </c>
      <c r="AU7" s="56" t="str">
        <f t="shared" si="6"/>
        <v/>
      </c>
      <c r="AV7" s="56">
        <f t="shared" si="7"/>
        <v>16</v>
      </c>
      <c r="AW7" s="56" t="s">
        <v>330</v>
      </c>
      <c r="AX7" s="56" t="s">
        <v>335</v>
      </c>
      <c r="AY7" s="59">
        <v>8039457095</v>
      </c>
      <c r="AZ7" s="56" t="s">
        <v>336</v>
      </c>
      <c r="BA7" s="59">
        <v>8039162381</v>
      </c>
      <c r="BB7" s="66" t="s">
        <v>337</v>
      </c>
      <c r="BC7" s="56">
        <v>3</v>
      </c>
      <c r="BD7" s="88"/>
      <c r="BE7" s="61"/>
      <c r="BF7" s="55" t="s">
        <v>338</v>
      </c>
    </row>
    <row r="8" spans="1:58" s="54" customFormat="1" ht="24" customHeight="1" x14ac:dyDescent="0.45">
      <c r="A8" s="72">
        <v>4</v>
      </c>
      <c r="B8" s="75" t="s">
        <v>339</v>
      </c>
      <c r="C8" s="57"/>
      <c r="D8" s="57"/>
      <c r="E8" s="57"/>
      <c r="F8" s="57"/>
      <c r="G8" s="57"/>
      <c r="H8" s="57"/>
      <c r="I8" s="57"/>
      <c r="J8" s="57"/>
      <c r="K8" s="57"/>
      <c r="L8" s="57"/>
      <c r="M8" s="56"/>
      <c r="N8" s="56"/>
      <c r="O8" s="56"/>
      <c r="P8" s="56"/>
      <c r="Q8" s="56"/>
      <c r="R8" s="56"/>
      <c r="S8" s="56"/>
      <c r="T8" s="56"/>
      <c r="U8" s="56"/>
      <c r="V8" s="56"/>
      <c r="W8" s="56"/>
      <c r="X8" s="56"/>
      <c r="Y8" s="56"/>
      <c r="Z8" s="56"/>
      <c r="AA8" s="56"/>
      <c r="AB8" s="56"/>
      <c r="AC8" s="56"/>
      <c r="AD8" s="56"/>
      <c r="AE8" s="56"/>
      <c r="AF8" s="56"/>
      <c r="AG8" s="56"/>
      <c r="AH8" s="56"/>
      <c r="AI8" s="56"/>
      <c r="AJ8" s="56"/>
      <c r="AL8" s="56"/>
      <c r="AM8" s="56"/>
      <c r="AN8" s="56"/>
      <c r="AO8" s="56"/>
      <c r="AP8" s="56"/>
      <c r="AQ8" s="56"/>
      <c r="AR8" s="56" t="str">
        <f t="shared" si="3"/>
        <v/>
      </c>
      <c r="AS8" s="56" t="str">
        <f t="shared" si="4"/>
        <v/>
      </c>
      <c r="AT8" s="56" t="str">
        <f t="shared" si="5"/>
        <v/>
      </c>
      <c r="AU8" s="56" t="str">
        <f t="shared" si="6"/>
        <v/>
      </c>
      <c r="AV8" s="56" t="str">
        <f t="shared" si="7"/>
        <v/>
      </c>
      <c r="AW8" s="56" t="s">
        <v>323</v>
      </c>
      <c r="AX8" s="56" t="s">
        <v>340</v>
      </c>
      <c r="AY8" s="59">
        <v>9037963062</v>
      </c>
      <c r="AZ8" s="56" t="s">
        <v>341</v>
      </c>
      <c r="BA8" s="59">
        <v>9075873470</v>
      </c>
      <c r="BB8" s="56" t="s">
        <v>326</v>
      </c>
      <c r="BC8" s="56">
        <v>3</v>
      </c>
      <c r="BD8" s="88"/>
      <c r="BE8" s="53"/>
      <c r="BF8" s="55"/>
    </row>
    <row r="9" spans="1:58" s="54" customFormat="1" ht="24" customHeight="1" x14ac:dyDescent="0.45">
      <c r="A9" s="72">
        <v>5</v>
      </c>
      <c r="B9" s="57" t="s">
        <v>342</v>
      </c>
      <c r="C9" s="57"/>
      <c r="D9" s="57"/>
      <c r="E9" s="57"/>
      <c r="F9" s="57"/>
      <c r="G9" s="57"/>
      <c r="H9" s="57"/>
      <c r="I9" s="57"/>
      <c r="J9" s="57" t="str">
        <f>IF(COUNTA(C9:I9)=0,"",COUNTA(C9:I9))</f>
        <v/>
      </c>
      <c r="K9" s="57"/>
      <c r="L9" s="57"/>
      <c r="M9" s="56" t="str">
        <f>IF(M$4="火","昼",IF(M$4="水","○",IF(M$4="木","夕","")))</f>
        <v>昼</v>
      </c>
      <c r="N9" s="56" t="str">
        <f t="shared" ref="N9:AQ9" si="10">IF(N$4="火","昼",IF(N$4="水","○",IF(N$4="木","夕","")))</f>
        <v>○</v>
      </c>
      <c r="O9" s="56" t="str">
        <f t="shared" si="10"/>
        <v>夕</v>
      </c>
      <c r="P9" s="56" t="str">
        <f t="shared" si="10"/>
        <v/>
      </c>
      <c r="Q9" s="56" t="str">
        <f t="shared" si="10"/>
        <v/>
      </c>
      <c r="R9" s="56" t="str">
        <f t="shared" si="10"/>
        <v/>
      </c>
      <c r="S9" s="56" t="str">
        <f t="shared" si="10"/>
        <v/>
      </c>
      <c r="T9" s="56" t="str">
        <f t="shared" si="10"/>
        <v>昼</v>
      </c>
      <c r="U9" s="56" t="str">
        <f t="shared" si="10"/>
        <v>○</v>
      </c>
      <c r="V9" s="56" t="str">
        <f t="shared" si="10"/>
        <v>夕</v>
      </c>
      <c r="W9" s="56" t="str">
        <f t="shared" si="10"/>
        <v/>
      </c>
      <c r="X9" s="56" t="str">
        <f t="shared" si="10"/>
        <v/>
      </c>
      <c r="Y9" s="56" t="str">
        <f t="shared" si="10"/>
        <v/>
      </c>
      <c r="Z9" s="56" t="str">
        <f t="shared" si="10"/>
        <v/>
      </c>
      <c r="AA9" s="56" t="str">
        <f t="shared" si="10"/>
        <v>昼</v>
      </c>
      <c r="AB9" s="56" t="str">
        <f t="shared" si="10"/>
        <v>○</v>
      </c>
      <c r="AC9" s="56" t="str">
        <f t="shared" si="10"/>
        <v>夕</v>
      </c>
      <c r="AD9" s="56" t="str">
        <f t="shared" si="10"/>
        <v/>
      </c>
      <c r="AE9" s="56" t="str">
        <f t="shared" si="10"/>
        <v/>
      </c>
      <c r="AF9" s="56" t="str">
        <f t="shared" si="10"/>
        <v/>
      </c>
      <c r="AG9" s="56" t="str">
        <f t="shared" si="10"/>
        <v/>
      </c>
      <c r="AH9" s="56" t="str">
        <f t="shared" si="10"/>
        <v>昼</v>
      </c>
      <c r="AI9" s="56" t="str">
        <f t="shared" si="10"/>
        <v>○</v>
      </c>
      <c r="AJ9" s="56" t="str">
        <f t="shared" si="10"/>
        <v>夕</v>
      </c>
      <c r="AK9" s="56" t="str">
        <f t="shared" si="10"/>
        <v/>
      </c>
      <c r="AL9" s="56" t="str">
        <f t="shared" si="10"/>
        <v/>
      </c>
      <c r="AM9" s="56" t="str">
        <f t="shared" si="10"/>
        <v/>
      </c>
      <c r="AN9" s="56" t="str">
        <f t="shared" si="10"/>
        <v/>
      </c>
      <c r="AO9" s="56" t="str">
        <f t="shared" si="10"/>
        <v>昼</v>
      </c>
      <c r="AP9" s="56" t="str">
        <f t="shared" si="10"/>
        <v>○</v>
      </c>
      <c r="AQ9" s="56" t="str">
        <f t="shared" si="10"/>
        <v/>
      </c>
      <c r="AR9" s="56">
        <f t="shared" si="3"/>
        <v>5</v>
      </c>
      <c r="AS9" s="56">
        <f t="shared" si="4"/>
        <v>5</v>
      </c>
      <c r="AT9" s="56" t="str">
        <f t="shared" si="5"/>
        <v/>
      </c>
      <c r="AU9" s="56">
        <f t="shared" si="6"/>
        <v>4</v>
      </c>
      <c r="AV9" s="56">
        <f t="shared" si="7"/>
        <v>14</v>
      </c>
      <c r="AW9" s="56" t="s">
        <v>323</v>
      </c>
      <c r="AX9" s="56" t="s">
        <v>343</v>
      </c>
      <c r="AY9" s="59">
        <v>9019466851</v>
      </c>
      <c r="AZ9" s="56" t="s">
        <v>336</v>
      </c>
      <c r="BA9" s="59">
        <v>8039162381</v>
      </c>
      <c r="BB9" s="66" t="s">
        <v>326</v>
      </c>
      <c r="BC9" s="56">
        <v>2</v>
      </c>
      <c r="BD9" s="88">
        <v>46630</v>
      </c>
      <c r="BE9" s="53"/>
      <c r="BF9" s="55"/>
    </row>
    <row r="10" spans="1:58" s="54" customFormat="1" ht="24" customHeight="1" x14ac:dyDescent="0.45">
      <c r="A10" s="72">
        <v>6</v>
      </c>
      <c r="B10" s="57" t="s">
        <v>344</v>
      </c>
      <c r="C10" s="57"/>
      <c r="D10" s="57"/>
      <c r="E10" s="57"/>
      <c r="F10" s="57"/>
      <c r="G10" s="57"/>
      <c r="H10" s="57"/>
      <c r="I10" s="57"/>
      <c r="J10" s="57"/>
      <c r="K10" s="57"/>
      <c r="L10" s="57"/>
      <c r="M10" s="56" t="str">
        <f>IF(M$4="木","昼",IF(M$4="金","○",IF(M$4="土","夕","")))</f>
        <v/>
      </c>
      <c r="N10" s="56"/>
      <c r="O10" s="56"/>
      <c r="P10" s="56"/>
      <c r="Q10" s="56"/>
      <c r="R10" s="56" t="str">
        <f t="shared" ref="R10:AQ10" si="11">IF(R$4="木","昼",IF(R$4="金","○",IF(R$4="土","夕","")))</f>
        <v/>
      </c>
      <c r="S10" s="56" t="str">
        <f t="shared" si="11"/>
        <v/>
      </c>
      <c r="T10" s="56" t="str">
        <f t="shared" si="11"/>
        <v/>
      </c>
      <c r="U10" s="56" t="str">
        <f t="shared" si="11"/>
        <v/>
      </c>
      <c r="V10" s="56" t="str">
        <f t="shared" si="11"/>
        <v>昼</v>
      </c>
      <c r="W10" s="56" t="str">
        <f t="shared" si="11"/>
        <v>○</v>
      </c>
      <c r="X10" s="56" t="str">
        <f t="shared" si="11"/>
        <v>夕</v>
      </c>
      <c r="Y10" s="56" t="str">
        <f t="shared" si="11"/>
        <v/>
      </c>
      <c r="Z10" s="56" t="str">
        <f t="shared" si="11"/>
        <v/>
      </c>
      <c r="AA10" s="56" t="str">
        <f t="shared" si="11"/>
        <v/>
      </c>
      <c r="AB10" s="56"/>
      <c r="AC10" s="56"/>
      <c r="AD10" s="56"/>
      <c r="AE10" s="56"/>
      <c r="AF10" s="56"/>
      <c r="AG10" s="56" t="str">
        <f t="shared" si="11"/>
        <v/>
      </c>
      <c r="AH10" s="56" t="str">
        <f t="shared" si="11"/>
        <v/>
      </c>
      <c r="AI10" s="56" t="str">
        <f t="shared" si="11"/>
        <v/>
      </c>
      <c r="AJ10" s="56" t="str">
        <f t="shared" si="11"/>
        <v>昼</v>
      </c>
      <c r="AK10" s="56" t="str">
        <f t="shared" si="11"/>
        <v>○</v>
      </c>
      <c r="AL10" s="56" t="str">
        <f t="shared" si="11"/>
        <v>夕</v>
      </c>
      <c r="AM10" s="56" t="str">
        <f t="shared" si="11"/>
        <v/>
      </c>
      <c r="AN10" s="56" t="str">
        <f t="shared" si="11"/>
        <v/>
      </c>
      <c r="AO10" s="56" t="str">
        <f t="shared" si="11"/>
        <v/>
      </c>
      <c r="AP10" s="56" t="str">
        <f t="shared" si="11"/>
        <v/>
      </c>
      <c r="AQ10" s="56" t="str">
        <f t="shared" si="11"/>
        <v/>
      </c>
      <c r="AR10" s="56">
        <f t="shared" si="3"/>
        <v>2</v>
      </c>
      <c r="AS10" s="56">
        <f t="shared" si="4"/>
        <v>2</v>
      </c>
      <c r="AT10" s="56" t="str">
        <f t="shared" si="5"/>
        <v/>
      </c>
      <c r="AU10" s="56">
        <f t="shared" si="6"/>
        <v>2</v>
      </c>
      <c r="AV10" s="56">
        <f t="shared" si="7"/>
        <v>6</v>
      </c>
      <c r="AW10" s="56" t="s">
        <v>323</v>
      </c>
      <c r="AX10" s="56" t="s">
        <v>345</v>
      </c>
      <c r="AY10" s="59">
        <v>9068975316</v>
      </c>
      <c r="AZ10" s="56" t="s">
        <v>346</v>
      </c>
      <c r="BA10" s="59">
        <v>8033750538</v>
      </c>
      <c r="BB10" s="66" t="s">
        <v>347</v>
      </c>
      <c r="BC10" s="56">
        <v>2</v>
      </c>
      <c r="BD10" s="66"/>
      <c r="BE10" s="53"/>
      <c r="BF10" s="55"/>
    </row>
    <row r="11" spans="1:58" s="54" customFormat="1" ht="24" customHeight="1" x14ac:dyDescent="0.45">
      <c r="A11" s="72">
        <v>7</v>
      </c>
      <c r="B11" s="57" t="s">
        <v>348</v>
      </c>
      <c r="C11" s="57"/>
      <c r="D11" s="57"/>
      <c r="E11" s="57"/>
      <c r="F11" s="57"/>
      <c r="G11" s="57"/>
      <c r="H11" s="57"/>
      <c r="I11" s="57"/>
      <c r="J11" s="57"/>
      <c r="K11" s="57"/>
      <c r="L11" s="57"/>
      <c r="M11" s="56" t="s">
        <v>319</v>
      </c>
      <c r="N11" s="56" t="s">
        <v>319</v>
      </c>
      <c r="O11" s="56" t="s">
        <v>319</v>
      </c>
      <c r="P11" s="56" t="s">
        <v>319</v>
      </c>
      <c r="Q11" s="56" t="s">
        <v>319</v>
      </c>
      <c r="R11" s="56" t="s">
        <v>319</v>
      </c>
      <c r="S11" s="56" t="s">
        <v>319</v>
      </c>
      <c r="T11" s="56" t="s">
        <v>319</v>
      </c>
      <c r="U11" s="56" t="s">
        <v>319</v>
      </c>
      <c r="V11" s="56" t="s">
        <v>319</v>
      </c>
      <c r="W11" s="56" t="s">
        <v>319</v>
      </c>
      <c r="X11" s="56" t="s">
        <v>319</v>
      </c>
      <c r="Y11" s="56" t="s">
        <v>319</v>
      </c>
      <c r="Z11" s="56" t="s">
        <v>319</v>
      </c>
      <c r="AA11" s="56" t="s">
        <v>319</v>
      </c>
      <c r="AB11" s="56" t="s">
        <v>319</v>
      </c>
      <c r="AC11" s="56" t="s">
        <v>319</v>
      </c>
      <c r="AD11" s="56" t="s">
        <v>319</v>
      </c>
      <c r="AE11" s="56" t="s">
        <v>319</v>
      </c>
      <c r="AF11" s="56" t="s">
        <v>319</v>
      </c>
      <c r="AG11" s="56" t="s">
        <v>319</v>
      </c>
      <c r="AH11" s="56" t="s">
        <v>319</v>
      </c>
      <c r="AI11" s="56" t="s">
        <v>319</v>
      </c>
      <c r="AJ11" s="56" t="s">
        <v>319</v>
      </c>
      <c r="AK11" s="56" t="s">
        <v>319</v>
      </c>
      <c r="AL11" s="56" t="s">
        <v>319</v>
      </c>
      <c r="AM11" s="56" t="s">
        <v>319</v>
      </c>
      <c r="AN11" s="56" t="s">
        <v>319</v>
      </c>
      <c r="AO11" s="56" t="s">
        <v>319</v>
      </c>
      <c r="AP11" s="56" t="s">
        <v>319</v>
      </c>
      <c r="AQ11" s="56"/>
      <c r="AR11" s="56" t="str">
        <f t="shared" si="3"/>
        <v/>
      </c>
      <c r="AS11" s="56">
        <f t="shared" si="4"/>
        <v>30</v>
      </c>
      <c r="AT11" s="56" t="str">
        <f t="shared" si="5"/>
        <v/>
      </c>
      <c r="AU11" s="56" t="str">
        <f t="shared" si="6"/>
        <v/>
      </c>
      <c r="AV11" s="56">
        <f t="shared" si="7"/>
        <v>30</v>
      </c>
      <c r="AW11" s="56" t="s">
        <v>323</v>
      </c>
      <c r="AX11" s="56" t="s">
        <v>349</v>
      </c>
      <c r="AY11" s="59">
        <v>9013413414</v>
      </c>
      <c r="AZ11" s="56" t="s">
        <v>350</v>
      </c>
      <c r="BA11" s="59">
        <v>9068641724</v>
      </c>
      <c r="BB11" s="66" t="s">
        <v>337</v>
      </c>
      <c r="BC11" s="56">
        <v>3</v>
      </c>
      <c r="BD11" s="88"/>
      <c r="BE11" s="53"/>
      <c r="BF11" s="55"/>
    </row>
    <row r="12" spans="1:58" s="54" customFormat="1" ht="24" customHeight="1" x14ac:dyDescent="0.45">
      <c r="A12" s="72">
        <v>8</v>
      </c>
      <c r="B12" s="57" t="s">
        <v>351</v>
      </c>
      <c r="C12" s="57"/>
      <c r="D12" s="57"/>
      <c r="E12" s="57"/>
      <c r="F12" s="57"/>
      <c r="G12" s="57"/>
      <c r="H12" s="57"/>
      <c r="I12" s="57"/>
      <c r="J12" s="57"/>
      <c r="K12" s="57"/>
      <c r="L12" s="57"/>
      <c r="M12" s="56" t="str">
        <f>IF(M$4="土","昼",IF(M$4="日","お",""))</f>
        <v/>
      </c>
      <c r="N12" s="56" t="str">
        <f t="shared" ref="N12:AQ12" si="12">IF(N$4="土","昼",IF(N$4="日","お",""))</f>
        <v/>
      </c>
      <c r="O12" s="56" t="str">
        <f t="shared" si="12"/>
        <v/>
      </c>
      <c r="P12" s="56" t="str">
        <f t="shared" si="12"/>
        <v/>
      </c>
      <c r="Q12" s="56" t="str">
        <f t="shared" si="12"/>
        <v>昼</v>
      </c>
      <c r="R12" s="56" t="str">
        <f t="shared" si="12"/>
        <v>お</v>
      </c>
      <c r="S12" s="56" t="str">
        <f t="shared" si="12"/>
        <v/>
      </c>
      <c r="T12" s="56" t="str">
        <f t="shared" si="12"/>
        <v/>
      </c>
      <c r="U12" s="56" t="str">
        <f t="shared" si="12"/>
        <v/>
      </c>
      <c r="V12" s="56" t="str">
        <f t="shared" si="12"/>
        <v/>
      </c>
      <c r="W12" s="56" t="str">
        <f t="shared" si="12"/>
        <v/>
      </c>
      <c r="X12" s="56" t="str">
        <f t="shared" si="12"/>
        <v>昼</v>
      </c>
      <c r="Y12" s="56" t="str">
        <f t="shared" si="12"/>
        <v>お</v>
      </c>
      <c r="Z12" s="56" t="str">
        <f t="shared" si="12"/>
        <v/>
      </c>
      <c r="AA12" s="56" t="str">
        <f t="shared" si="12"/>
        <v/>
      </c>
      <c r="AB12" s="56" t="str">
        <f t="shared" si="12"/>
        <v/>
      </c>
      <c r="AC12" s="56" t="str">
        <f t="shared" si="12"/>
        <v/>
      </c>
      <c r="AD12" s="56" t="str">
        <f t="shared" si="12"/>
        <v/>
      </c>
      <c r="AE12" s="56" t="str">
        <f t="shared" si="12"/>
        <v>昼</v>
      </c>
      <c r="AF12" s="56" t="str">
        <f t="shared" si="12"/>
        <v>お</v>
      </c>
      <c r="AG12" s="56" t="str">
        <f t="shared" si="12"/>
        <v/>
      </c>
      <c r="AH12" s="56" t="str">
        <f t="shared" si="12"/>
        <v/>
      </c>
      <c r="AI12" s="56" t="str">
        <f t="shared" si="12"/>
        <v/>
      </c>
      <c r="AJ12" s="56" t="str">
        <f t="shared" si="12"/>
        <v/>
      </c>
      <c r="AK12" s="56" t="str">
        <f t="shared" si="12"/>
        <v/>
      </c>
      <c r="AL12" s="56" t="str">
        <f t="shared" si="12"/>
        <v>昼</v>
      </c>
      <c r="AM12" s="56" t="str">
        <f t="shared" si="12"/>
        <v>お</v>
      </c>
      <c r="AN12" s="56" t="str">
        <f t="shared" si="12"/>
        <v/>
      </c>
      <c r="AO12" s="56" t="str">
        <f t="shared" si="12"/>
        <v/>
      </c>
      <c r="AP12" s="56" t="str">
        <f t="shared" si="12"/>
        <v/>
      </c>
      <c r="AQ12" s="56" t="str">
        <f t="shared" si="12"/>
        <v/>
      </c>
      <c r="AR12" s="56">
        <f t="shared" si="3"/>
        <v>4</v>
      </c>
      <c r="AS12" s="56" t="str">
        <f t="shared" si="4"/>
        <v/>
      </c>
      <c r="AT12" s="56">
        <f t="shared" si="5"/>
        <v>4</v>
      </c>
      <c r="AU12" s="56" t="str">
        <f t="shared" si="6"/>
        <v/>
      </c>
      <c r="AV12" s="56">
        <f t="shared" si="7"/>
        <v>8</v>
      </c>
      <c r="AW12" s="56" t="s">
        <v>323</v>
      </c>
      <c r="AX12" s="56" t="s">
        <v>353</v>
      </c>
      <c r="AY12" s="59">
        <v>9097873561</v>
      </c>
      <c r="AZ12" s="56" t="s">
        <v>346</v>
      </c>
      <c r="BA12" s="59">
        <v>8033750537</v>
      </c>
      <c r="BB12" s="66" t="s">
        <v>347</v>
      </c>
      <c r="BC12" s="56">
        <v>1</v>
      </c>
      <c r="BD12" s="88"/>
      <c r="BE12" s="53"/>
      <c r="BF12" s="55"/>
    </row>
    <row r="13" spans="1:58" s="54" customFormat="1" ht="24" customHeight="1" x14ac:dyDescent="0.45">
      <c r="A13" s="72">
        <v>9</v>
      </c>
      <c r="B13" s="57" t="s">
        <v>354</v>
      </c>
      <c r="C13" s="57"/>
      <c r="D13" s="57"/>
      <c r="E13" s="57"/>
      <c r="F13" s="57"/>
      <c r="G13" s="57"/>
      <c r="H13" s="57"/>
      <c r="I13" s="57"/>
      <c r="J13" s="57"/>
      <c r="K13" s="57"/>
      <c r="L13" s="57"/>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t="str">
        <f t="shared" si="3"/>
        <v/>
      </c>
      <c r="AS13" s="56" t="str">
        <f t="shared" si="4"/>
        <v/>
      </c>
      <c r="AT13" s="56" t="str">
        <f t="shared" si="5"/>
        <v/>
      </c>
      <c r="AU13" s="56" t="str">
        <f t="shared" si="6"/>
        <v/>
      </c>
      <c r="AV13" s="56" t="str">
        <f t="shared" si="7"/>
        <v/>
      </c>
      <c r="AW13" s="56" t="s">
        <v>323</v>
      </c>
      <c r="AX13" s="56" t="s">
        <v>355</v>
      </c>
      <c r="AY13" s="59">
        <v>9094067262</v>
      </c>
      <c r="AZ13" s="56" t="s">
        <v>356</v>
      </c>
      <c r="BA13" s="59">
        <v>7012498633</v>
      </c>
      <c r="BB13" s="66" t="s">
        <v>326</v>
      </c>
      <c r="BC13" s="56">
        <v>2</v>
      </c>
      <c r="BD13" s="88"/>
      <c r="BE13" s="53"/>
      <c r="BF13" s="55"/>
    </row>
    <row r="14" spans="1:58" s="54" customFormat="1" ht="24" customHeight="1" x14ac:dyDescent="0.45">
      <c r="A14" s="72">
        <v>10</v>
      </c>
      <c r="B14" s="57" t="s">
        <v>357</v>
      </c>
      <c r="C14" s="57"/>
      <c r="D14" s="57"/>
      <c r="E14" s="57"/>
      <c r="F14" s="57"/>
      <c r="G14" s="57"/>
      <c r="H14" s="57"/>
      <c r="I14" s="57"/>
      <c r="J14" s="57"/>
      <c r="K14" s="57"/>
      <c r="L14" s="57"/>
      <c r="M14" s="56" t="s">
        <v>319</v>
      </c>
      <c r="N14" s="56" t="s">
        <v>319</v>
      </c>
      <c r="O14" s="56" t="s">
        <v>320</v>
      </c>
      <c r="P14" s="64"/>
      <c r="Q14" s="64"/>
      <c r="R14" s="64"/>
      <c r="S14" s="56" t="s">
        <v>352</v>
      </c>
      <c r="T14" s="56" t="s">
        <v>319</v>
      </c>
      <c r="U14" s="56" t="s">
        <v>319</v>
      </c>
      <c r="V14" s="56" t="s">
        <v>319</v>
      </c>
      <c r="W14" s="56" t="s">
        <v>319</v>
      </c>
      <c r="X14" s="56" t="s">
        <v>319</v>
      </c>
      <c r="Y14" s="56" t="s">
        <v>319</v>
      </c>
      <c r="Z14" s="56" t="s">
        <v>319</v>
      </c>
      <c r="AA14" s="56" t="s">
        <v>319</v>
      </c>
      <c r="AB14" s="56" t="s">
        <v>319</v>
      </c>
      <c r="AC14" s="56" t="s">
        <v>320</v>
      </c>
      <c r="AD14" s="56"/>
      <c r="AE14" s="56"/>
      <c r="AF14" s="56"/>
      <c r="AG14" s="56" t="s">
        <v>352</v>
      </c>
      <c r="AH14" s="56" t="s">
        <v>319</v>
      </c>
      <c r="AI14" s="56" t="s">
        <v>319</v>
      </c>
      <c r="AJ14" s="56" t="s">
        <v>319</v>
      </c>
      <c r="AK14" s="56" t="s">
        <v>319</v>
      </c>
      <c r="AL14" s="56" t="s">
        <v>319</v>
      </c>
      <c r="AM14" s="56" t="s">
        <v>319</v>
      </c>
      <c r="AN14" s="56" t="s">
        <v>319</v>
      </c>
      <c r="AO14" s="56" t="s">
        <v>319</v>
      </c>
      <c r="AP14" s="56" t="s">
        <v>319</v>
      </c>
      <c r="AQ14" s="56"/>
      <c r="AR14" s="56">
        <f>IF(COUNTIF($M14:$AQ14,"昼")=0,"",COUNTIF($M14:$AQ14,"昼"))</f>
        <v>2</v>
      </c>
      <c r="AS14" s="56">
        <f>IF(COUNTIF($M14:$AQ14,"○")=0,"",COUNTIF($M14:$AQ14,"○"))</f>
        <v>20</v>
      </c>
      <c r="AT14" s="56">
        <f>IF(COUNTIF($M14:$AQ14,"お")=0,"",COUNTIF($M14:$AQ14,"お"))</f>
        <v>2</v>
      </c>
      <c r="AU14" s="56" t="str">
        <f>IF(COUNTIF($M14:$AQ14,"夕")=0,"",COUNTIF($M14:$AQ14,"夕"))</f>
        <v/>
      </c>
      <c r="AV14" s="56">
        <f>IF(COUNTA(M14:AQ14)=0,"",SUM(AR14:AU14))</f>
        <v>24</v>
      </c>
      <c r="AW14" s="56" t="s">
        <v>330</v>
      </c>
      <c r="AX14" s="56" t="s">
        <v>358</v>
      </c>
      <c r="AY14" s="59">
        <v>8035335927</v>
      </c>
      <c r="AZ14" s="56" t="s">
        <v>359</v>
      </c>
      <c r="BA14" s="59">
        <v>9082902739</v>
      </c>
      <c r="BB14" s="66" t="s">
        <v>360</v>
      </c>
      <c r="BC14" s="56">
        <v>3</v>
      </c>
      <c r="BD14" s="88"/>
      <c r="BE14" s="53"/>
      <c r="BF14" s="55"/>
    </row>
    <row r="15" spans="1:58" s="54" customFormat="1" ht="24" customHeight="1" x14ac:dyDescent="0.45">
      <c r="A15" s="72">
        <v>11</v>
      </c>
      <c r="B15" s="57" t="s">
        <v>361</v>
      </c>
      <c r="C15" s="57"/>
      <c r="D15" s="57"/>
      <c r="E15" s="57"/>
      <c r="F15" s="57"/>
      <c r="G15" s="57"/>
      <c r="H15" s="57"/>
      <c r="I15" s="57"/>
      <c r="J15" s="57"/>
      <c r="K15" s="57"/>
      <c r="L15" s="57"/>
      <c r="M15" s="56" t="s">
        <v>319</v>
      </c>
      <c r="N15" s="56" t="s">
        <v>319</v>
      </c>
      <c r="O15" s="56" t="s">
        <v>319</v>
      </c>
      <c r="P15" s="56" t="s">
        <v>319</v>
      </c>
      <c r="Q15" s="56" t="s">
        <v>319</v>
      </c>
      <c r="R15" s="56" t="s">
        <v>319</v>
      </c>
      <c r="S15" s="56" t="s">
        <v>319</v>
      </c>
      <c r="T15" s="56" t="s">
        <v>319</v>
      </c>
      <c r="U15" s="56" t="s">
        <v>319</v>
      </c>
      <c r="V15" s="56" t="s">
        <v>319</v>
      </c>
      <c r="W15" s="56" t="s">
        <v>319</v>
      </c>
      <c r="X15" s="56" t="s">
        <v>319</v>
      </c>
      <c r="Y15" s="56" t="s">
        <v>319</v>
      </c>
      <c r="Z15" s="56" t="s">
        <v>319</v>
      </c>
      <c r="AA15" s="56" t="s">
        <v>319</v>
      </c>
      <c r="AB15" s="56" t="s">
        <v>319</v>
      </c>
      <c r="AC15" s="56" t="s">
        <v>319</v>
      </c>
      <c r="AD15" s="56" t="s">
        <v>319</v>
      </c>
      <c r="AE15" s="56" t="s">
        <v>319</v>
      </c>
      <c r="AF15" s="56" t="s">
        <v>319</v>
      </c>
      <c r="AG15" s="56" t="s">
        <v>319</v>
      </c>
      <c r="AH15" s="56" t="s">
        <v>319</v>
      </c>
      <c r="AI15" s="56" t="s">
        <v>319</v>
      </c>
      <c r="AJ15" s="56" t="s">
        <v>319</v>
      </c>
      <c r="AK15" s="56" t="s">
        <v>319</v>
      </c>
      <c r="AL15" s="56" t="s">
        <v>319</v>
      </c>
      <c r="AM15" s="56" t="s">
        <v>319</v>
      </c>
      <c r="AN15" s="56" t="s">
        <v>319</v>
      </c>
      <c r="AO15" s="56" t="s">
        <v>319</v>
      </c>
      <c r="AP15" s="56" t="s">
        <v>319</v>
      </c>
      <c r="AQ15" s="56"/>
      <c r="AR15" s="56"/>
      <c r="AS15" s="56"/>
      <c r="AT15" s="56"/>
      <c r="AU15" s="56"/>
      <c r="AV15" s="56"/>
      <c r="AW15" s="56" t="s">
        <v>323</v>
      </c>
      <c r="AX15" s="56" t="s">
        <v>362</v>
      </c>
      <c r="AY15" s="59">
        <v>9075855328</v>
      </c>
      <c r="AZ15" s="56" t="s">
        <v>336</v>
      </c>
      <c r="BA15" s="59">
        <v>8039162381</v>
      </c>
      <c r="BB15" s="66" t="s">
        <v>337</v>
      </c>
      <c r="BC15" s="56">
        <v>1</v>
      </c>
      <c r="BD15" s="88"/>
      <c r="BE15" s="53"/>
      <c r="BF15" s="55"/>
    </row>
    <row r="16" spans="1:58" s="54" customFormat="1" ht="24" customHeight="1" x14ac:dyDescent="0.45">
      <c r="A16" s="72">
        <v>12</v>
      </c>
      <c r="B16" s="57" t="s">
        <v>538</v>
      </c>
      <c r="C16" s="57"/>
      <c r="D16" s="57"/>
      <c r="E16" s="57"/>
      <c r="F16" s="57"/>
      <c r="G16" s="57"/>
      <c r="H16" s="57"/>
      <c r="I16" s="57"/>
      <c r="J16" s="57"/>
      <c r="K16" s="57"/>
      <c r="L16" s="57"/>
      <c r="M16" s="56" t="s">
        <v>319</v>
      </c>
      <c r="N16" s="56" t="s">
        <v>319</v>
      </c>
      <c r="O16" s="56" t="s">
        <v>319</v>
      </c>
      <c r="P16" s="56" t="s">
        <v>319</v>
      </c>
      <c r="Q16" s="56" t="s">
        <v>319</v>
      </c>
      <c r="R16" s="56" t="s">
        <v>319</v>
      </c>
      <c r="S16" s="56" t="s">
        <v>319</v>
      </c>
      <c r="T16" s="56" t="s">
        <v>319</v>
      </c>
      <c r="U16" s="56" t="s">
        <v>319</v>
      </c>
      <c r="V16" s="56" t="s">
        <v>319</v>
      </c>
      <c r="W16" s="56" t="s">
        <v>319</v>
      </c>
      <c r="X16" s="56" t="s">
        <v>319</v>
      </c>
      <c r="Y16" s="56" t="s">
        <v>319</v>
      </c>
      <c r="Z16" s="56" t="s">
        <v>319</v>
      </c>
      <c r="AA16" s="56" t="s">
        <v>319</v>
      </c>
      <c r="AB16" s="56" t="s">
        <v>319</v>
      </c>
      <c r="AC16" s="56" t="s">
        <v>319</v>
      </c>
      <c r="AD16" s="56" t="s">
        <v>319</v>
      </c>
      <c r="AE16" s="56" t="s">
        <v>319</v>
      </c>
      <c r="AF16" s="56" t="s">
        <v>319</v>
      </c>
      <c r="AG16" s="56" t="s">
        <v>319</v>
      </c>
      <c r="AH16" s="56" t="s">
        <v>319</v>
      </c>
      <c r="AI16" s="56" t="s">
        <v>319</v>
      </c>
      <c r="AJ16" s="56" t="s">
        <v>319</v>
      </c>
      <c r="AK16" s="56" t="s">
        <v>319</v>
      </c>
      <c r="AL16" s="56" t="s">
        <v>319</v>
      </c>
      <c r="AM16" s="56" t="s">
        <v>319</v>
      </c>
      <c r="AN16" s="56" t="s">
        <v>319</v>
      </c>
      <c r="AO16" s="56" t="s">
        <v>319</v>
      </c>
      <c r="AP16" s="56" t="s">
        <v>319</v>
      </c>
      <c r="AQ16" s="56"/>
      <c r="AR16" s="56"/>
      <c r="AS16" s="56"/>
      <c r="AT16" s="56"/>
      <c r="AU16" s="56"/>
      <c r="AV16" s="56"/>
      <c r="AW16" s="56"/>
      <c r="AX16" s="56" t="s">
        <v>362</v>
      </c>
      <c r="AY16" s="59">
        <v>9075855329</v>
      </c>
      <c r="AZ16" s="56" t="s">
        <v>336</v>
      </c>
      <c r="BA16" s="59">
        <v>8039162382</v>
      </c>
      <c r="BB16" s="66"/>
      <c r="BC16" s="56">
        <v>3</v>
      </c>
      <c r="BD16" s="88"/>
      <c r="BE16" s="53"/>
      <c r="BF16" s="55"/>
    </row>
    <row r="17" spans="1:58" s="54" customFormat="1" ht="24" customHeight="1" x14ac:dyDescent="0.45">
      <c r="A17" s="72">
        <v>13</v>
      </c>
      <c r="B17" s="57" t="s">
        <v>363</v>
      </c>
      <c r="C17" s="57"/>
      <c r="D17" s="57"/>
      <c r="E17" s="57"/>
      <c r="F17" s="57"/>
      <c r="G17" s="57"/>
      <c r="H17" s="57"/>
      <c r="I17" s="57"/>
      <c r="J17" s="57"/>
      <c r="K17" s="57"/>
      <c r="L17" s="57"/>
      <c r="M17" s="56" t="str">
        <f>IF(M$4="日","昼",IF(M$4="月","お",""))</f>
        <v/>
      </c>
      <c r="N17" s="56" t="str">
        <f t="shared" ref="N17:AQ17" si="13">IF(N$4="日","昼",IF(N$4="月","お",""))</f>
        <v/>
      </c>
      <c r="O17" s="56" t="str">
        <f t="shared" si="13"/>
        <v/>
      </c>
      <c r="P17" s="56" t="str">
        <f t="shared" si="13"/>
        <v/>
      </c>
      <c r="Q17" s="56" t="str">
        <f t="shared" si="13"/>
        <v/>
      </c>
      <c r="R17" s="56" t="str">
        <f t="shared" si="13"/>
        <v>昼</v>
      </c>
      <c r="S17" s="56" t="str">
        <f t="shared" si="13"/>
        <v>お</v>
      </c>
      <c r="T17" s="56" t="str">
        <f t="shared" si="13"/>
        <v/>
      </c>
      <c r="U17" s="56" t="str">
        <f t="shared" si="13"/>
        <v/>
      </c>
      <c r="V17" s="56" t="str">
        <f t="shared" si="13"/>
        <v/>
      </c>
      <c r="W17" s="56" t="str">
        <f t="shared" si="13"/>
        <v/>
      </c>
      <c r="X17" s="56" t="str">
        <f t="shared" si="13"/>
        <v/>
      </c>
      <c r="Y17" s="56" t="str">
        <f t="shared" si="13"/>
        <v>昼</v>
      </c>
      <c r="Z17" s="56" t="str">
        <f t="shared" si="13"/>
        <v>お</v>
      </c>
      <c r="AA17" s="56" t="str">
        <f t="shared" si="13"/>
        <v/>
      </c>
      <c r="AB17" s="56" t="str">
        <f t="shared" si="13"/>
        <v/>
      </c>
      <c r="AC17" s="56" t="str">
        <f t="shared" si="13"/>
        <v/>
      </c>
      <c r="AD17" s="56" t="str">
        <f t="shared" si="13"/>
        <v/>
      </c>
      <c r="AE17" s="56" t="str">
        <f t="shared" si="13"/>
        <v/>
      </c>
      <c r="AF17" s="56" t="str">
        <f t="shared" si="13"/>
        <v>昼</v>
      </c>
      <c r="AG17" s="56" t="str">
        <f t="shared" si="13"/>
        <v>お</v>
      </c>
      <c r="AH17" s="56" t="str">
        <f t="shared" si="13"/>
        <v/>
      </c>
      <c r="AI17" s="56" t="str">
        <f t="shared" si="13"/>
        <v/>
      </c>
      <c r="AJ17" s="56" t="str">
        <f t="shared" si="13"/>
        <v/>
      </c>
      <c r="AK17" s="56" t="str">
        <f t="shared" si="13"/>
        <v/>
      </c>
      <c r="AL17" s="56" t="str">
        <f t="shared" si="13"/>
        <v/>
      </c>
      <c r="AM17" s="56" t="str">
        <f t="shared" si="13"/>
        <v>昼</v>
      </c>
      <c r="AN17" s="56" t="str">
        <f t="shared" si="13"/>
        <v>お</v>
      </c>
      <c r="AO17" s="56" t="str">
        <f t="shared" si="13"/>
        <v/>
      </c>
      <c r="AP17" s="56" t="str">
        <f t="shared" si="13"/>
        <v/>
      </c>
      <c r="AQ17" s="56" t="str">
        <f t="shared" si="13"/>
        <v/>
      </c>
      <c r="AR17" s="56">
        <f t="shared" si="3"/>
        <v>4</v>
      </c>
      <c r="AS17" s="56" t="str">
        <f t="shared" si="4"/>
        <v/>
      </c>
      <c r="AT17" s="56">
        <f t="shared" si="5"/>
        <v>4</v>
      </c>
      <c r="AU17" s="56" t="str">
        <f t="shared" si="6"/>
        <v/>
      </c>
      <c r="AV17" s="56">
        <f t="shared" si="7"/>
        <v>8</v>
      </c>
      <c r="AW17" s="56" t="s">
        <v>323</v>
      </c>
      <c r="AX17" s="59" t="s">
        <v>364</v>
      </c>
      <c r="AY17" s="59">
        <v>9082937045</v>
      </c>
      <c r="AZ17" s="56" t="s">
        <v>336</v>
      </c>
      <c r="BA17" s="59">
        <v>8039162381</v>
      </c>
      <c r="BB17" s="118" t="s">
        <v>326</v>
      </c>
      <c r="BC17" s="56">
        <v>3</v>
      </c>
      <c r="BD17" s="88"/>
      <c r="BE17" s="61" t="s">
        <v>365</v>
      </c>
      <c r="BF17" s="55" t="s">
        <v>366</v>
      </c>
    </row>
    <row r="18" spans="1:58" s="54" customFormat="1" ht="24" customHeight="1" x14ac:dyDescent="0.45">
      <c r="A18" s="72">
        <v>14</v>
      </c>
      <c r="B18" s="57" t="s">
        <v>367</v>
      </c>
      <c r="C18" s="57"/>
      <c r="D18" s="57"/>
      <c r="E18" s="57"/>
      <c r="F18" s="57"/>
      <c r="G18" s="57"/>
      <c r="H18" s="57"/>
      <c r="I18" s="57"/>
      <c r="J18" s="57"/>
      <c r="K18" s="57"/>
      <c r="L18" s="57"/>
      <c r="M18" s="56"/>
      <c r="N18" s="56"/>
      <c r="O18" s="56"/>
      <c r="P18" s="56"/>
      <c r="Q18" s="56"/>
      <c r="R18" s="56"/>
      <c r="S18" s="56"/>
      <c r="T18" s="56"/>
      <c r="U18" s="56"/>
      <c r="V18" s="56"/>
      <c r="W18" s="56"/>
      <c r="X18" s="56"/>
      <c r="Y18" s="56"/>
      <c r="Z18" s="56"/>
      <c r="AA18" s="56" t="s">
        <v>352</v>
      </c>
      <c r="AB18" s="56" t="s">
        <v>319</v>
      </c>
      <c r="AC18" s="56" t="s">
        <v>320</v>
      </c>
      <c r="AD18" s="56"/>
      <c r="AE18" s="56"/>
      <c r="AF18" s="56"/>
      <c r="AG18" s="56"/>
      <c r="AH18" s="56"/>
      <c r="AI18" s="56"/>
      <c r="AJ18" s="56"/>
      <c r="AK18" s="56"/>
      <c r="AL18" s="56"/>
      <c r="AM18" s="56"/>
      <c r="AN18" s="56"/>
      <c r="AO18" s="56"/>
      <c r="AP18" s="56"/>
      <c r="AQ18" s="56"/>
      <c r="AR18" s="56">
        <f t="shared" si="3"/>
        <v>1</v>
      </c>
      <c r="AS18" s="56">
        <f t="shared" si="4"/>
        <v>1</v>
      </c>
      <c r="AT18" s="56">
        <f t="shared" si="5"/>
        <v>1</v>
      </c>
      <c r="AU18" s="56" t="str">
        <f t="shared" si="6"/>
        <v/>
      </c>
      <c r="AV18" s="56">
        <f t="shared" si="7"/>
        <v>3</v>
      </c>
      <c r="AW18" s="56" t="s">
        <v>330</v>
      </c>
      <c r="AX18" s="56" t="s">
        <v>368</v>
      </c>
      <c r="AY18" s="59">
        <v>98037966964</v>
      </c>
      <c r="AZ18" s="56" t="s">
        <v>369</v>
      </c>
      <c r="BA18" s="59">
        <v>8064920886</v>
      </c>
      <c r="BB18" s="66" t="s">
        <v>347</v>
      </c>
      <c r="BC18" s="56">
        <v>2</v>
      </c>
      <c r="BD18" s="88"/>
      <c r="BE18" s="61"/>
      <c r="BF18" s="55"/>
    </row>
    <row r="19" spans="1:58" s="54" customFormat="1" ht="24" customHeight="1" x14ac:dyDescent="0.45">
      <c r="A19" s="72">
        <v>15</v>
      </c>
      <c r="B19" s="57" t="s">
        <v>370</v>
      </c>
      <c r="C19" s="57"/>
      <c r="D19" s="57"/>
      <c r="E19" s="57"/>
      <c r="F19" s="57"/>
      <c r="G19" s="57"/>
      <c r="H19" s="57"/>
      <c r="I19" s="57"/>
      <c r="J19" s="57"/>
      <c r="K19" s="57"/>
      <c r="L19" s="57"/>
      <c r="M19" s="56" t="str">
        <f>IF(M$4="金","昼",IF(M$4="土","○",IF(M$4="日","お","")))</f>
        <v/>
      </c>
      <c r="N19" s="56" t="str">
        <f t="shared" ref="N19:AQ19" si="14">IF(N$4="金","昼",IF(N$4="土","○",IF(N$4="日","お","")))</f>
        <v/>
      </c>
      <c r="O19" s="56" t="str">
        <f t="shared" si="14"/>
        <v/>
      </c>
      <c r="P19" s="56" t="str">
        <f t="shared" si="14"/>
        <v>昼</v>
      </c>
      <c r="Q19" s="56" t="str">
        <f t="shared" si="14"/>
        <v>○</v>
      </c>
      <c r="R19" s="56" t="str">
        <f t="shared" si="14"/>
        <v>お</v>
      </c>
      <c r="S19" s="56" t="str">
        <f t="shared" si="14"/>
        <v/>
      </c>
      <c r="T19" s="56" t="str">
        <f t="shared" si="14"/>
        <v/>
      </c>
      <c r="U19" s="56" t="str">
        <f t="shared" si="14"/>
        <v/>
      </c>
      <c r="V19" s="56" t="str">
        <f t="shared" si="14"/>
        <v/>
      </c>
      <c r="W19" s="56" t="str">
        <f t="shared" si="14"/>
        <v>昼</v>
      </c>
      <c r="X19" s="56" t="str">
        <f t="shared" si="14"/>
        <v>○</v>
      </c>
      <c r="Y19" s="56" t="str">
        <f t="shared" si="14"/>
        <v>お</v>
      </c>
      <c r="Z19" s="56" t="str">
        <f t="shared" si="14"/>
        <v/>
      </c>
      <c r="AA19" s="56" t="str">
        <f t="shared" si="14"/>
        <v/>
      </c>
      <c r="AB19" s="56" t="str">
        <f t="shared" si="14"/>
        <v/>
      </c>
      <c r="AC19" s="56" t="str">
        <f t="shared" si="14"/>
        <v/>
      </c>
      <c r="AD19" s="56" t="str">
        <f t="shared" si="14"/>
        <v>昼</v>
      </c>
      <c r="AE19" s="56" t="str">
        <f t="shared" si="14"/>
        <v>○</v>
      </c>
      <c r="AF19" s="56" t="str">
        <f t="shared" si="14"/>
        <v>お</v>
      </c>
      <c r="AG19" s="56" t="str">
        <f t="shared" si="14"/>
        <v/>
      </c>
      <c r="AH19" s="56" t="str">
        <f t="shared" si="14"/>
        <v/>
      </c>
      <c r="AI19" s="56" t="str">
        <f t="shared" si="14"/>
        <v/>
      </c>
      <c r="AJ19" s="56" t="str">
        <f t="shared" si="14"/>
        <v/>
      </c>
      <c r="AK19" s="56" t="str">
        <f t="shared" si="14"/>
        <v>昼</v>
      </c>
      <c r="AL19" s="56" t="str">
        <f t="shared" si="14"/>
        <v>○</v>
      </c>
      <c r="AM19" s="56" t="str">
        <f t="shared" si="14"/>
        <v>お</v>
      </c>
      <c r="AN19" s="56" t="str">
        <f t="shared" si="14"/>
        <v/>
      </c>
      <c r="AO19" s="56" t="str">
        <f t="shared" si="14"/>
        <v/>
      </c>
      <c r="AP19" s="56" t="str">
        <f t="shared" si="14"/>
        <v/>
      </c>
      <c r="AQ19" s="56" t="str">
        <f t="shared" si="14"/>
        <v/>
      </c>
      <c r="AR19" s="56">
        <f t="shared" si="3"/>
        <v>4</v>
      </c>
      <c r="AS19" s="56">
        <f t="shared" si="4"/>
        <v>4</v>
      </c>
      <c r="AT19" s="56">
        <f t="shared" si="5"/>
        <v>4</v>
      </c>
      <c r="AU19" s="56" t="str">
        <f t="shared" si="6"/>
        <v/>
      </c>
      <c r="AV19" s="56">
        <f t="shared" si="7"/>
        <v>12</v>
      </c>
      <c r="AW19" s="56" t="s">
        <v>323</v>
      </c>
      <c r="AX19" s="56" t="s">
        <v>371</v>
      </c>
      <c r="AY19" s="59">
        <v>9082930790</v>
      </c>
      <c r="AZ19" s="56" t="s">
        <v>372</v>
      </c>
      <c r="BA19" s="59">
        <v>7083029211</v>
      </c>
      <c r="BB19" s="66" t="s">
        <v>337</v>
      </c>
      <c r="BC19" s="56">
        <v>3</v>
      </c>
      <c r="BD19" s="88"/>
      <c r="BE19" s="61"/>
      <c r="BF19" s="55"/>
    </row>
    <row r="20" spans="1:58" s="54" customFormat="1" ht="24" customHeight="1" x14ac:dyDescent="0.45">
      <c r="A20" s="72">
        <v>16</v>
      </c>
      <c r="B20" s="57" t="s">
        <v>373</v>
      </c>
      <c r="C20" s="57"/>
      <c r="D20" s="57"/>
      <c r="E20" s="57"/>
      <c r="F20" s="57"/>
      <c r="G20" s="57"/>
      <c r="H20" s="57"/>
      <c r="I20" s="57"/>
      <c r="J20" s="57"/>
      <c r="K20" s="57"/>
      <c r="L20" s="57"/>
      <c r="M20" s="56"/>
      <c r="N20" s="56"/>
      <c r="O20" s="56"/>
      <c r="P20" s="56"/>
      <c r="Q20" s="56"/>
      <c r="R20" s="56"/>
      <c r="S20" s="56"/>
      <c r="T20" s="56"/>
      <c r="U20" s="56"/>
      <c r="V20" s="56"/>
      <c r="W20" s="56"/>
      <c r="X20" s="56"/>
      <c r="Y20" s="56"/>
      <c r="Z20" s="56"/>
      <c r="AA20" s="56"/>
      <c r="AB20" s="72"/>
      <c r="AC20" s="56"/>
      <c r="AD20" s="56"/>
      <c r="AE20" s="56"/>
      <c r="AF20" s="56"/>
      <c r="AG20" s="56"/>
      <c r="AH20" s="56"/>
      <c r="AI20" s="56"/>
      <c r="AJ20" s="56"/>
      <c r="AK20" s="56"/>
      <c r="AL20" s="56"/>
      <c r="AM20" s="56"/>
      <c r="AN20" s="56"/>
      <c r="AO20" s="56"/>
      <c r="AP20" s="56"/>
      <c r="AQ20" s="56"/>
      <c r="AR20" s="56" t="str">
        <f t="shared" si="3"/>
        <v/>
      </c>
      <c r="AS20" s="56" t="str">
        <f t="shared" si="4"/>
        <v/>
      </c>
      <c r="AT20" s="56" t="str">
        <f t="shared" si="5"/>
        <v/>
      </c>
      <c r="AU20" s="56" t="str">
        <f t="shared" si="6"/>
        <v/>
      </c>
      <c r="AV20" s="56" t="str">
        <f t="shared" si="7"/>
        <v/>
      </c>
      <c r="AW20" s="56" t="s">
        <v>323</v>
      </c>
      <c r="AX20" s="56" t="s">
        <v>374</v>
      </c>
      <c r="AY20" s="59">
        <v>8064937799</v>
      </c>
      <c r="AZ20" s="56" t="s">
        <v>375</v>
      </c>
      <c r="BA20" s="59">
        <v>8075301442</v>
      </c>
      <c r="BB20" s="66"/>
      <c r="BC20" s="56"/>
      <c r="BD20" s="88"/>
      <c r="BE20" s="61"/>
      <c r="BF20" s="55"/>
    </row>
    <row r="21" spans="1:58" s="54" customFormat="1" ht="24" customHeight="1" x14ac:dyDescent="0.45">
      <c r="A21" s="72">
        <v>17</v>
      </c>
      <c r="B21" s="57" t="s">
        <v>473</v>
      </c>
      <c r="C21" s="57"/>
      <c r="D21" s="57"/>
      <c r="E21" s="57"/>
      <c r="F21" s="57"/>
      <c r="G21" s="57"/>
      <c r="H21" s="57"/>
      <c r="I21" s="57"/>
      <c r="J21" s="57"/>
      <c r="K21" s="57"/>
      <c r="L21" s="57"/>
      <c r="M21" s="56"/>
      <c r="N21" s="56"/>
      <c r="O21" s="56"/>
      <c r="P21" s="56"/>
      <c r="Q21" s="56"/>
      <c r="R21" s="56"/>
      <c r="S21" s="56"/>
      <c r="T21" s="56"/>
      <c r="U21" s="56"/>
      <c r="V21" s="64"/>
      <c r="W21" s="64"/>
      <c r="X21" s="64"/>
      <c r="Y21" s="56"/>
      <c r="Z21" s="56"/>
      <c r="AA21" s="58"/>
      <c r="AB21" s="72"/>
      <c r="AC21" s="56"/>
      <c r="AD21" s="56" t="s">
        <v>352</v>
      </c>
      <c r="AE21" s="56" t="s">
        <v>319</v>
      </c>
      <c r="AF21" s="56" t="s">
        <v>319</v>
      </c>
      <c r="AG21" s="56" t="s">
        <v>319</v>
      </c>
      <c r="AH21" s="56" t="s">
        <v>319</v>
      </c>
      <c r="AI21" s="57" t="s">
        <v>319</v>
      </c>
      <c r="AJ21" s="56" t="s">
        <v>320</v>
      </c>
      <c r="AK21" s="56"/>
      <c r="AL21" s="56"/>
      <c r="AM21" s="56"/>
      <c r="AN21" s="56"/>
      <c r="AO21" s="56"/>
      <c r="AP21" s="58"/>
      <c r="AQ21" s="56"/>
      <c r="AR21" s="56">
        <f t="shared" si="3"/>
        <v>1</v>
      </c>
      <c r="AS21" s="56">
        <f t="shared" si="4"/>
        <v>5</v>
      </c>
      <c r="AT21" s="56">
        <f t="shared" si="5"/>
        <v>1</v>
      </c>
      <c r="AU21" s="56" t="str">
        <f t="shared" si="6"/>
        <v/>
      </c>
      <c r="AV21" s="56">
        <f t="shared" si="7"/>
        <v>7</v>
      </c>
      <c r="AW21" s="56" t="s">
        <v>323</v>
      </c>
      <c r="AX21" s="56" t="s">
        <v>474</v>
      </c>
      <c r="AY21" s="59">
        <v>9068577835</v>
      </c>
      <c r="AZ21" s="56" t="s">
        <v>475</v>
      </c>
      <c r="BA21" s="59">
        <v>9016132846</v>
      </c>
      <c r="BB21" s="66" t="s">
        <v>326</v>
      </c>
      <c r="BC21" s="56"/>
      <c r="BD21" s="88"/>
      <c r="BE21" s="61"/>
      <c r="BF21" s="55"/>
    </row>
    <row r="22" spans="1:58" s="54" customFormat="1" ht="24" customHeight="1" x14ac:dyDescent="0.45">
      <c r="A22" s="72">
        <v>18</v>
      </c>
      <c r="B22" s="57" t="s">
        <v>378</v>
      </c>
      <c r="C22" s="57"/>
      <c r="D22" s="57"/>
      <c r="E22" s="57"/>
      <c r="F22" s="57"/>
      <c r="G22" s="57"/>
      <c r="H22" s="57"/>
      <c r="I22" s="57"/>
      <c r="J22" s="57"/>
      <c r="K22" s="57"/>
      <c r="L22" s="57"/>
      <c r="M22" s="56" t="str">
        <f>IF(M$4="月","昼",IF(M$4="火","○",IF(M$4="水","○",IF(M$4="木","お",""))))</f>
        <v>○</v>
      </c>
      <c r="N22" s="56" t="str">
        <f t="shared" ref="N22:AQ22" si="15">IF(N$4="月","昼",IF(N$4="火","○",IF(N$4="水","○",IF(N$4="木","お",""))))</f>
        <v>○</v>
      </c>
      <c r="O22" s="56" t="str">
        <f t="shared" si="15"/>
        <v>お</v>
      </c>
      <c r="P22" s="56" t="str">
        <f t="shared" si="15"/>
        <v/>
      </c>
      <c r="Q22" s="56" t="str">
        <f t="shared" si="15"/>
        <v/>
      </c>
      <c r="R22" s="56" t="str">
        <f t="shared" si="15"/>
        <v/>
      </c>
      <c r="S22" s="56" t="str">
        <f t="shared" si="15"/>
        <v>昼</v>
      </c>
      <c r="T22" s="56" t="str">
        <f t="shared" si="15"/>
        <v>○</v>
      </c>
      <c r="U22" s="56" t="str">
        <f t="shared" si="15"/>
        <v>○</v>
      </c>
      <c r="V22" s="56" t="str">
        <f t="shared" si="15"/>
        <v>お</v>
      </c>
      <c r="W22" s="56" t="str">
        <f t="shared" si="15"/>
        <v/>
      </c>
      <c r="X22" s="56" t="str">
        <f t="shared" si="15"/>
        <v/>
      </c>
      <c r="Y22" s="56" t="str">
        <f t="shared" si="15"/>
        <v/>
      </c>
      <c r="Z22" s="56" t="str">
        <f t="shared" si="15"/>
        <v>昼</v>
      </c>
      <c r="AA22" s="56" t="str">
        <f t="shared" si="15"/>
        <v>○</v>
      </c>
      <c r="AB22" s="56" t="str">
        <f t="shared" si="15"/>
        <v>○</v>
      </c>
      <c r="AC22" s="56" t="str">
        <f t="shared" si="15"/>
        <v>お</v>
      </c>
      <c r="AD22" s="56" t="str">
        <f t="shared" si="15"/>
        <v/>
      </c>
      <c r="AE22" s="56" t="str">
        <f t="shared" si="15"/>
        <v/>
      </c>
      <c r="AF22" s="56" t="str">
        <f t="shared" si="15"/>
        <v/>
      </c>
      <c r="AG22" s="56" t="str">
        <f t="shared" si="15"/>
        <v>昼</v>
      </c>
      <c r="AH22" s="56" t="str">
        <f t="shared" si="15"/>
        <v>○</v>
      </c>
      <c r="AI22" s="56" t="str">
        <f t="shared" si="15"/>
        <v>○</v>
      </c>
      <c r="AJ22" s="56" t="str">
        <f t="shared" si="15"/>
        <v>お</v>
      </c>
      <c r="AK22" s="56" t="str">
        <f t="shared" si="15"/>
        <v/>
      </c>
      <c r="AL22" s="56" t="str">
        <f t="shared" si="15"/>
        <v/>
      </c>
      <c r="AM22" s="56" t="str">
        <f t="shared" si="15"/>
        <v/>
      </c>
      <c r="AN22" s="56" t="str">
        <f t="shared" si="15"/>
        <v>昼</v>
      </c>
      <c r="AO22" s="56" t="str">
        <f t="shared" si="15"/>
        <v>○</v>
      </c>
      <c r="AP22" s="56" t="str">
        <f t="shared" si="15"/>
        <v>○</v>
      </c>
      <c r="AQ22" s="56" t="str">
        <f t="shared" si="15"/>
        <v/>
      </c>
      <c r="AR22" s="56"/>
      <c r="AS22" s="56"/>
      <c r="AT22" s="56"/>
      <c r="AU22" s="56"/>
      <c r="AV22" s="56"/>
      <c r="AW22" s="56" t="s">
        <v>323</v>
      </c>
      <c r="AX22" s="56" t="s">
        <v>379</v>
      </c>
      <c r="AY22" s="59">
        <v>9019438341</v>
      </c>
      <c r="AZ22" s="56" t="s">
        <v>380</v>
      </c>
      <c r="BA22" s="59">
        <v>8033750538</v>
      </c>
      <c r="BB22" s="66" t="s">
        <v>347</v>
      </c>
      <c r="BC22" s="56">
        <v>3</v>
      </c>
      <c r="BD22" s="88"/>
      <c r="BE22" s="61"/>
      <c r="BF22" s="55"/>
    </row>
    <row r="23" spans="1:58" s="54" customFormat="1" ht="24" customHeight="1" x14ac:dyDescent="0.45">
      <c r="A23" s="72">
        <v>19</v>
      </c>
      <c r="B23" s="57" t="s">
        <v>381</v>
      </c>
      <c r="C23" s="57"/>
      <c r="D23" s="57"/>
      <c r="E23" s="57"/>
      <c r="F23" s="57"/>
      <c r="G23" s="57"/>
      <c r="H23" s="57"/>
      <c r="I23" s="57"/>
      <c r="J23" s="57"/>
      <c r="K23" s="57"/>
      <c r="L23" s="57"/>
      <c r="M23" s="56" t="str">
        <f>IF(M$4="火","昼",IF(M$4="水","お",""))</f>
        <v>昼</v>
      </c>
      <c r="N23" s="56" t="str">
        <f t="shared" ref="N23:AQ23" si="16">IF(N$4="火","昼",IF(N$4="水","お",""))</f>
        <v>お</v>
      </c>
      <c r="O23" s="56" t="str">
        <f t="shared" si="16"/>
        <v/>
      </c>
      <c r="P23" s="56" t="str">
        <f t="shared" si="16"/>
        <v/>
      </c>
      <c r="Q23" s="56" t="str">
        <f t="shared" si="16"/>
        <v/>
      </c>
      <c r="R23" s="56" t="str">
        <f t="shared" si="16"/>
        <v/>
      </c>
      <c r="S23" s="56" t="str">
        <f t="shared" si="16"/>
        <v/>
      </c>
      <c r="T23" s="56" t="str">
        <f t="shared" si="16"/>
        <v>昼</v>
      </c>
      <c r="U23" s="56" t="str">
        <f t="shared" si="16"/>
        <v>お</v>
      </c>
      <c r="V23" s="56" t="str">
        <f t="shared" si="16"/>
        <v/>
      </c>
      <c r="W23" s="56" t="str">
        <f t="shared" si="16"/>
        <v/>
      </c>
      <c r="X23" s="56" t="str">
        <f t="shared" si="16"/>
        <v/>
      </c>
      <c r="Y23" s="56" t="str">
        <f t="shared" si="16"/>
        <v/>
      </c>
      <c r="Z23" s="56" t="str">
        <f t="shared" si="16"/>
        <v/>
      </c>
      <c r="AA23" s="56" t="str">
        <f t="shared" si="16"/>
        <v>昼</v>
      </c>
      <c r="AB23" s="56" t="str">
        <f t="shared" si="16"/>
        <v>お</v>
      </c>
      <c r="AC23" s="56" t="str">
        <f t="shared" si="16"/>
        <v/>
      </c>
      <c r="AD23" s="56" t="str">
        <f t="shared" si="16"/>
        <v/>
      </c>
      <c r="AE23" s="56" t="str">
        <f t="shared" si="16"/>
        <v/>
      </c>
      <c r="AF23" s="56" t="str">
        <f t="shared" si="16"/>
        <v/>
      </c>
      <c r="AG23" s="56" t="str">
        <f t="shared" si="16"/>
        <v/>
      </c>
      <c r="AH23" s="56" t="str">
        <f t="shared" si="16"/>
        <v>昼</v>
      </c>
      <c r="AI23" s="56" t="str">
        <f t="shared" si="16"/>
        <v>お</v>
      </c>
      <c r="AJ23" s="56" t="str">
        <f t="shared" si="16"/>
        <v/>
      </c>
      <c r="AK23" s="56" t="str">
        <f t="shared" si="16"/>
        <v/>
      </c>
      <c r="AL23" s="56" t="str">
        <f t="shared" si="16"/>
        <v/>
      </c>
      <c r="AM23" s="56" t="str">
        <f t="shared" si="16"/>
        <v/>
      </c>
      <c r="AN23" s="56" t="str">
        <f t="shared" si="16"/>
        <v/>
      </c>
      <c r="AO23" s="56" t="str">
        <f t="shared" si="16"/>
        <v>昼</v>
      </c>
      <c r="AP23" s="56" t="str">
        <f t="shared" si="16"/>
        <v>お</v>
      </c>
      <c r="AQ23" s="56" t="str">
        <f t="shared" si="16"/>
        <v/>
      </c>
      <c r="AR23" s="56">
        <f t="shared" ref="AR23" si="17">IF(COUNTIF($M23:$AQ23,"昼")=0,"",COUNTIF($M23:$AQ23,"昼"))</f>
        <v>5</v>
      </c>
      <c r="AS23" s="56" t="str">
        <f t="shared" ref="AS23" si="18">IF(COUNTIF($M23:$AQ23,"○")=0,"",COUNTIF($M23:$AQ23,"○"))</f>
        <v/>
      </c>
      <c r="AT23" s="56">
        <f t="shared" ref="AT23" si="19">IF(COUNTIF($M23:$AQ23,"お")=0,"",COUNTIF($M23:$AQ23,"お"))</f>
        <v>5</v>
      </c>
      <c r="AU23" s="56" t="str">
        <f t="shared" ref="AU23" si="20">IF(COUNTIF($M23:$AQ23,"夕")=0,"",COUNTIF($M23:$AQ23,"夕"))</f>
        <v/>
      </c>
      <c r="AV23" s="56">
        <f t="shared" ref="AV23" si="21">IF(COUNTA(M23:AQ23)=0,"",SUM(AR23:AU23))</f>
        <v>10</v>
      </c>
      <c r="AW23" s="56" t="s">
        <v>323</v>
      </c>
      <c r="AX23" s="56" t="s">
        <v>382</v>
      </c>
      <c r="AY23" s="59">
        <v>8017623199</v>
      </c>
      <c r="AZ23" s="56" t="s">
        <v>383</v>
      </c>
      <c r="BA23" s="59">
        <v>9014956645</v>
      </c>
      <c r="BB23" s="66" t="s">
        <v>326</v>
      </c>
      <c r="BC23" s="56">
        <v>3</v>
      </c>
      <c r="BD23" s="88"/>
      <c r="BE23" s="61"/>
      <c r="BF23" s="55"/>
    </row>
    <row r="24" spans="1:58" s="54" customFormat="1" ht="24" customHeight="1" x14ac:dyDescent="0.45">
      <c r="A24" s="72">
        <v>20</v>
      </c>
      <c r="B24" s="57" t="s">
        <v>384</v>
      </c>
      <c r="C24" s="57"/>
      <c r="D24" s="57"/>
      <c r="E24" s="57"/>
      <c r="F24" s="57"/>
      <c r="G24" s="57"/>
      <c r="H24" s="57"/>
      <c r="I24" s="57"/>
      <c r="J24" s="57"/>
      <c r="K24" s="57"/>
      <c r="L24" s="57"/>
      <c r="M24" s="56" t="str">
        <f>IF(M$4="木","昼",IF(M$4="金","お",""))</f>
        <v/>
      </c>
      <c r="N24" s="56" t="str">
        <f t="shared" ref="N24:AQ24" si="22">IF(N$4="木","昼",IF(N$4="金","お",""))</f>
        <v/>
      </c>
      <c r="O24" s="56" t="str">
        <f t="shared" si="22"/>
        <v>昼</v>
      </c>
      <c r="P24" s="56" t="str">
        <f t="shared" si="22"/>
        <v>お</v>
      </c>
      <c r="Q24" s="56" t="str">
        <f t="shared" si="22"/>
        <v/>
      </c>
      <c r="R24" s="56" t="str">
        <f t="shared" si="22"/>
        <v/>
      </c>
      <c r="S24" s="56" t="str">
        <f t="shared" si="22"/>
        <v/>
      </c>
      <c r="T24" s="56" t="str">
        <f t="shared" si="22"/>
        <v/>
      </c>
      <c r="U24" s="56"/>
      <c r="V24" s="56"/>
      <c r="W24" s="56"/>
      <c r="X24" s="56" t="str">
        <f t="shared" si="22"/>
        <v/>
      </c>
      <c r="Y24" s="56" t="str">
        <f t="shared" si="22"/>
        <v/>
      </c>
      <c r="Z24" s="56" t="str">
        <f t="shared" si="22"/>
        <v/>
      </c>
      <c r="AA24" s="56" t="str">
        <f t="shared" si="22"/>
        <v/>
      </c>
      <c r="AB24" s="56" t="str">
        <f t="shared" si="22"/>
        <v/>
      </c>
      <c r="AC24" s="56" t="str">
        <f t="shared" si="22"/>
        <v>昼</v>
      </c>
      <c r="AD24" s="56" t="str">
        <f t="shared" si="22"/>
        <v>お</v>
      </c>
      <c r="AE24" s="56" t="str">
        <f t="shared" si="22"/>
        <v/>
      </c>
      <c r="AF24" s="56" t="str">
        <f t="shared" si="22"/>
        <v/>
      </c>
      <c r="AG24" s="56" t="str">
        <f t="shared" si="22"/>
        <v/>
      </c>
      <c r="AH24" s="56" t="str">
        <f t="shared" si="22"/>
        <v/>
      </c>
      <c r="AI24" s="56"/>
      <c r="AJ24" s="56"/>
      <c r="AK24" s="56"/>
      <c r="AL24" s="56"/>
      <c r="AM24" s="56"/>
      <c r="AN24" s="56" t="str">
        <f t="shared" si="22"/>
        <v/>
      </c>
      <c r="AO24" s="56" t="str">
        <f t="shared" si="22"/>
        <v/>
      </c>
      <c r="AP24" s="56" t="str">
        <f t="shared" si="22"/>
        <v/>
      </c>
      <c r="AQ24" s="56" t="str">
        <f t="shared" si="22"/>
        <v/>
      </c>
      <c r="AR24" s="56"/>
      <c r="AS24" s="56"/>
      <c r="AT24" s="56"/>
      <c r="AU24" s="56"/>
      <c r="AV24" s="56"/>
      <c r="AW24" s="56"/>
      <c r="AX24" s="56" t="s">
        <v>385</v>
      </c>
      <c r="AY24" s="59">
        <v>9097877632</v>
      </c>
      <c r="AZ24" s="56" t="s">
        <v>386</v>
      </c>
      <c r="BA24" s="59">
        <v>8085695618</v>
      </c>
      <c r="BB24" s="66" t="s">
        <v>326</v>
      </c>
      <c r="BC24" s="56">
        <v>3</v>
      </c>
      <c r="BD24" s="88"/>
      <c r="BE24" s="61"/>
      <c r="BF24" s="55"/>
    </row>
    <row r="25" spans="1:58" s="54" customFormat="1" ht="24" customHeight="1" x14ac:dyDescent="0.45">
      <c r="A25" s="72">
        <v>21</v>
      </c>
      <c r="B25" s="57" t="s">
        <v>537</v>
      </c>
      <c r="C25" s="57"/>
      <c r="D25" s="57"/>
      <c r="E25" s="57"/>
      <c r="F25" s="57"/>
      <c r="G25" s="57"/>
      <c r="H25" s="57"/>
      <c r="I25" s="57"/>
      <c r="J25" s="57"/>
      <c r="K25" s="57"/>
      <c r="L25" s="57"/>
      <c r="M25" s="56" t="str">
        <f>IF(M$4="水","昼",IF(M$4="木","○",IF(M$4="金","お","")))</f>
        <v/>
      </c>
      <c r="N25" s="56" t="str">
        <f t="shared" ref="N25:AQ25" si="23">IF(N$4="水","昼",IF(N$4="木","○",IF(N$4="金","お","")))</f>
        <v>昼</v>
      </c>
      <c r="O25" s="56" t="str">
        <f t="shared" si="23"/>
        <v>○</v>
      </c>
      <c r="P25" s="56" t="str">
        <f t="shared" si="23"/>
        <v>お</v>
      </c>
      <c r="Q25" s="56" t="str">
        <f t="shared" si="23"/>
        <v/>
      </c>
      <c r="R25" s="56" t="str">
        <f t="shared" si="23"/>
        <v/>
      </c>
      <c r="S25" s="56" t="str">
        <f t="shared" si="23"/>
        <v/>
      </c>
      <c r="T25" s="56" t="str">
        <f t="shared" si="23"/>
        <v/>
      </c>
      <c r="U25" s="56" t="str">
        <f t="shared" si="23"/>
        <v>昼</v>
      </c>
      <c r="V25" s="56" t="str">
        <f t="shared" si="23"/>
        <v>○</v>
      </c>
      <c r="W25" s="56" t="str">
        <f t="shared" si="23"/>
        <v>お</v>
      </c>
      <c r="X25" s="56" t="str">
        <f t="shared" si="23"/>
        <v/>
      </c>
      <c r="Y25" s="56" t="str">
        <f t="shared" si="23"/>
        <v/>
      </c>
      <c r="Z25" s="56" t="str">
        <f t="shared" si="23"/>
        <v/>
      </c>
      <c r="AA25" s="146" t="str">
        <f t="shared" si="23"/>
        <v/>
      </c>
      <c r="AB25" s="146" t="str">
        <f t="shared" si="23"/>
        <v>昼</v>
      </c>
      <c r="AC25" s="146" t="str">
        <f t="shared" si="23"/>
        <v>○</v>
      </c>
      <c r="AD25" s="56" t="str">
        <f t="shared" si="23"/>
        <v>お</v>
      </c>
      <c r="AE25" s="56" t="str">
        <f t="shared" si="23"/>
        <v/>
      </c>
      <c r="AF25" s="56" t="str">
        <f t="shared" si="23"/>
        <v/>
      </c>
      <c r="AG25" s="56" t="str">
        <f t="shared" si="23"/>
        <v/>
      </c>
      <c r="AH25" s="56" t="str">
        <f t="shared" si="23"/>
        <v/>
      </c>
      <c r="AI25" s="56" t="str">
        <f t="shared" si="23"/>
        <v>昼</v>
      </c>
      <c r="AJ25" s="56" t="str">
        <f t="shared" si="23"/>
        <v>○</v>
      </c>
      <c r="AK25" s="56" t="str">
        <f t="shared" si="23"/>
        <v>お</v>
      </c>
      <c r="AL25" s="56" t="str">
        <f t="shared" si="23"/>
        <v/>
      </c>
      <c r="AM25" s="56" t="str">
        <f t="shared" si="23"/>
        <v/>
      </c>
      <c r="AN25" s="56" t="str">
        <f t="shared" si="23"/>
        <v/>
      </c>
      <c r="AO25" s="56" t="str">
        <f t="shared" si="23"/>
        <v/>
      </c>
      <c r="AP25" s="56" t="str">
        <f t="shared" si="23"/>
        <v>昼</v>
      </c>
      <c r="AQ25" s="56" t="str">
        <f t="shared" si="23"/>
        <v/>
      </c>
      <c r="AR25" s="56">
        <f t="shared" ref="AR25" si="24">IF(COUNTIF($M25:$AQ25,"昼")=0,"",COUNTIF($M25:$AQ25,"昼"))</f>
        <v>5</v>
      </c>
      <c r="AS25" s="56">
        <f t="shared" ref="AS25" si="25">IF(COUNTIF($M25:$AQ25,"○")=0,"",COUNTIF($M25:$AQ25,"○"))</f>
        <v>4</v>
      </c>
      <c r="AT25" s="56">
        <f t="shared" ref="AT25" si="26">IF(COUNTIF($M25:$AQ25,"お")=0,"",COUNTIF($M25:$AQ25,"お"))</f>
        <v>4</v>
      </c>
      <c r="AU25" s="56" t="str">
        <f t="shared" ref="AU25" si="27">IF(COUNTIF($M25:$AQ25,"夕")=0,"",COUNTIF($M25:$AQ25,"夕"))</f>
        <v/>
      </c>
      <c r="AV25" s="56">
        <f t="shared" ref="AV25" si="28">IF(COUNTA(M25:AQ25)=0,"",SUM(AR25:AU25))</f>
        <v>13</v>
      </c>
      <c r="AW25" s="56"/>
      <c r="AX25" s="56" t="s">
        <v>533</v>
      </c>
      <c r="AY25" s="59">
        <v>9073971616</v>
      </c>
      <c r="AZ25" s="56" t="s">
        <v>461</v>
      </c>
      <c r="BA25" s="59">
        <v>8064847234</v>
      </c>
      <c r="BB25" s="66"/>
      <c r="BC25" s="56">
        <v>1</v>
      </c>
      <c r="BD25" s="88"/>
      <c r="BE25" s="61"/>
      <c r="BF25" s="55"/>
    </row>
    <row r="26" spans="1:58" s="54" customFormat="1" ht="24" customHeight="1" x14ac:dyDescent="0.45">
      <c r="A26" s="72">
        <v>22</v>
      </c>
      <c r="B26" s="57"/>
      <c r="C26" s="57"/>
      <c r="D26" s="57"/>
      <c r="E26" s="57"/>
      <c r="F26" s="57"/>
      <c r="G26" s="57"/>
      <c r="H26" s="57"/>
      <c r="I26" s="57"/>
      <c r="J26" s="57"/>
      <c r="K26" s="57"/>
      <c r="L26" s="57"/>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t="str">
        <f t="shared" si="3"/>
        <v/>
      </c>
      <c r="AS26" s="56" t="str">
        <f t="shared" si="4"/>
        <v/>
      </c>
      <c r="AT26" s="56" t="str">
        <f t="shared" si="5"/>
        <v/>
      </c>
      <c r="AU26" s="56" t="str">
        <f t="shared" si="6"/>
        <v/>
      </c>
      <c r="AV26" s="56" t="str">
        <f t="shared" si="7"/>
        <v/>
      </c>
      <c r="AW26" s="56"/>
      <c r="AX26" s="56"/>
      <c r="AY26" s="59"/>
      <c r="AZ26" s="56"/>
      <c r="BA26" s="59"/>
      <c r="BB26" s="66"/>
      <c r="BC26" s="56"/>
      <c r="BD26" s="88"/>
      <c r="BE26" s="61"/>
      <c r="BF26" s="55"/>
    </row>
    <row r="27" spans="1:58" s="54" customFormat="1" ht="24" customHeight="1" x14ac:dyDescent="0.45">
      <c r="A27" s="72"/>
      <c r="B27" s="57" t="s">
        <v>387</v>
      </c>
      <c r="C27" s="57"/>
      <c r="D27" s="57"/>
      <c r="E27" s="57"/>
      <c r="F27" s="57"/>
      <c r="G27" s="57"/>
      <c r="H27" s="57"/>
      <c r="I27" s="57"/>
      <c r="J27" s="57"/>
      <c r="K27" s="57"/>
      <c r="L27" s="57"/>
      <c r="M27" s="56">
        <f t="shared" ref="M27:AU27" si="29">COUNTIF(M5:M26,"朝")+COUNTIF(M5:M26,"昼")+COUNTIF(M5:M26,"夕")+COUNTIF(M5:M26,"お")+COUNTIF(M5:M26,"○")</f>
        <v>7</v>
      </c>
      <c r="N27" s="56">
        <f t="shared" si="29"/>
        <v>8</v>
      </c>
      <c r="O27" s="56">
        <f t="shared" si="29"/>
        <v>8</v>
      </c>
      <c r="P27" s="56">
        <f t="shared" si="29"/>
        <v>7</v>
      </c>
      <c r="Q27" s="56">
        <f t="shared" si="29"/>
        <v>8</v>
      </c>
      <c r="R27" s="56">
        <f t="shared" si="29"/>
        <v>9</v>
      </c>
      <c r="S27" s="56">
        <f t="shared" si="29"/>
        <v>8</v>
      </c>
      <c r="T27" s="56">
        <f t="shared" si="29"/>
        <v>7</v>
      </c>
      <c r="U27" s="56">
        <f t="shared" si="29"/>
        <v>8</v>
      </c>
      <c r="V27" s="56">
        <f t="shared" si="29"/>
        <v>8</v>
      </c>
      <c r="W27" s="56">
        <f t="shared" si="29"/>
        <v>8</v>
      </c>
      <c r="X27" s="56">
        <f t="shared" si="29"/>
        <v>10</v>
      </c>
      <c r="Y27" s="56">
        <f t="shared" si="29"/>
        <v>10</v>
      </c>
      <c r="Z27" s="56">
        <f t="shared" si="29"/>
        <v>8</v>
      </c>
      <c r="AA27" s="56">
        <f t="shared" si="29"/>
        <v>8</v>
      </c>
      <c r="AB27" s="56">
        <f t="shared" si="29"/>
        <v>9</v>
      </c>
      <c r="AC27" s="56">
        <f t="shared" si="29"/>
        <v>9</v>
      </c>
      <c r="AD27" s="56">
        <f t="shared" si="29"/>
        <v>8</v>
      </c>
      <c r="AE27" s="56">
        <f t="shared" si="29"/>
        <v>9</v>
      </c>
      <c r="AF27" s="56">
        <f t="shared" si="29"/>
        <v>10</v>
      </c>
      <c r="AG27" s="56">
        <f t="shared" si="29"/>
        <v>9</v>
      </c>
      <c r="AH27" s="56">
        <f t="shared" si="29"/>
        <v>8</v>
      </c>
      <c r="AI27" s="56">
        <f t="shared" si="29"/>
        <v>9</v>
      </c>
      <c r="AJ27" s="56">
        <f t="shared" si="29"/>
        <v>9</v>
      </c>
      <c r="AK27" s="56">
        <f t="shared" si="29"/>
        <v>8</v>
      </c>
      <c r="AL27" s="56">
        <f t="shared" si="29"/>
        <v>10</v>
      </c>
      <c r="AM27" s="56">
        <f t="shared" si="29"/>
        <v>10</v>
      </c>
      <c r="AN27" s="56">
        <f t="shared" si="29"/>
        <v>8</v>
      </c>
      <c r="AO27" s="56">
        <f t="shared" si="29"/>
        <v>7</v>
      </c>
      <c r="AP27" s="56">
        <f t="shared" si="29"/>
        <v>8</v>
      </c>
      <c r="AQ27" s="56">
        <f t="shared" si="29"/>
        <v>0</v>
      </c>
      <c r="AR27" s="56">
        <f t="shared" si="29"/>
        <v>0</v>
      </c>
      <c r="AS27" s="56">
        <f t="shared" si="29"/>
        <v>0</v>
      </c>
      <c r="AT27" s="56">
        <f t="shared" si="29"/>
        <v>0</v>
      </c>
      <c r="AU27" s="56">
        <f t="shared" si="29"/>
        <v>0</v>
      </c>
      <c r="AV27" s="56">
        <f>SUM(M27:AQ27)</f>
        <v>253</v>
      </c>
      <c r="AW27" s="56"/>
      <c r="AX27" s="63" t="s">
        <v>388</v>
      </c>
      <c r="AY27" s="56" t="s">
        <v>389</v>
      </c>
      <c r="AZ27" s="56"/>
      <c r="BA27" s="56"/>
      <c r="BB27" s="56"/>
      <c r="BC27" s="118" t="s">
        <v>390</v>
      </c>
      <c r="BD27" s="88"/>
      <c r="BE27" s="61"/>
      <c r="BF27" s="55"/>
    </row>
    <row r="28" spans="1:58" s="54" customFormat="1" ht="24" customHeight="1" x14ac:dyDescent="0.45">
      <c r="A28" s="72"/>
      <c r="B28" s="45" t="s">
        <v>391</v>
      </c>
      <c r="C28" s="57"/>
      <c r="D28" s="57"/>
      <c r="E28" s="57"/>
      <c r="F28" s="57"/>
      <c r="G28" s="57"/>
      <c r="H28" s="57"/>
      <c r="I28" s="57"/>
      <c r="J28" s="57"/>
      <c r="K28" s="57"/>
      <c r="L28" s="57"/>
      <c r="M28" s="56">
        <f>8-M27</f>
        <v>1</v>
      </c>
      <c r="N28" s="56">
        <f t="shared" ref="N28:AQ28" si="30">8-N27</f>
        <v>0</v>
      </c>
      <c r="O28" s="56">
        <f t="shared" si="30"/>
        <v>0</v>
      </c>
      <c r="P28" s="56">
        <f t="shared" si="30"/>
        <v>1</v>
      </c>
      <c r="Q28" s="56">
        <f t="shared" si="30"/>
        <v>0</v>
      </c>
      <c r="R28" s="56">
        <f t="shared" si="30"/>
        <v>-1</v>
      </c>
      <c r="S28" s="56">
        <f t="shared" si="30"/>
        <v>0</v>
      </c>
      <c r="T28" s="56">
        <f t="shared" si="30"/>
        <v>1</v>
      </c>
      <c r="U28" s="56">
        <f t="shared" si="30"/>
        <v>0</v>
      </c>
      <c r="V28" s="56">
        <f t="shared" si="30"/>
        <v>0</v>
      </c>
      <c r="W28" s="56">
        <f t="shared" si="30"/>
        <v>0</v>
      </c>
      <c r="X28" s="56">
        <f t="shared" si="30"/>
        <v>-2</v>
      </c>
      <c r="Y28" s="56">
        <f t="shared" si="30"/>
        <v>-2</v>
      </c>
      <c r="Z28" s="56">
        <f t="shared" si="30"/>
        <v>0</v>
      </c>
      <c r="AA28" s="56">
        <f t="shared" si="30"/>
        <v>0</v>
      </c>
      <c r="AB28" s="56">
        <f t="shared" si="30"/>
        <v>-1</v>
      </c>
      <c r="AC28" s="56">
        <f t="shared" si="30"/>
        <v>-1</v>
      </c>
      <c r="AD28" s="56">
        <f t="shared" si="30"/>
        <v>0</v>
      </c>
      <c r="AE28" s="56">
        <f t="shared" si="30"/>
        <v>-1</v>
      </c>
      <c r="AF28" s="56">
        <f t="shared" si="30"/>
        <v>-2</v>
      </c>
      <c r="AG28" s="56">
        <f t="shared" si="30"/>
        <v>-1</v>
      </c>
      <c r="AH28" s="56">
        <f t="shared" si="30"/>
        <v>0</v>
      </c>
      <c r="AI28" s="56">
        <f t="shared" si="30"/>
        <v>-1</v>
      </c>
      <c r="AJ28" s="56">
        <f t="shared" si="30"/>
        <v>-1</v>
      </c>
      <c r="AK28" s="56">
        <f t="shared" si="30"/>
        <v>0</v>
      </c>
      <c r="AL28" s="56">
        <f t="shared" si="30"/>
        <v>-2</v>
      </c>
      <c r="AM28" s="56">
        <f t="shared" si="30"/>
        <v>-2</v>
      </c>
      <c r="AN28" s="56">
        <f t="shared" si="30"/>
        <v>0</v>
      </c>
      <c r="AO28" s="56">
        <f t="shared" si="30"/>
        <v>1</v>
      </c>
      <c r="AP28" s="56">
        <f t="shared" si="30"/>
        <v>0</v>
      </c>
      <c r="AQ28" s="56">
        <f t="shared" si="30"/>
        <v>8</v>
      </c>
      <c r="AR28" s="56"/>
      <c r="AS28" s="56"/>
      <c r="AT28" s="56"/>
      <c r="AU28" s="56"/>
      <c r="AV28" s="56">
        <f t="shared" ref="AV28:AV31" si="31">SUM(M28:AQ28)</f>
        <v>-5</v>
      </c>
      <c r="AW28" s="56"/>
      <c r="AX28" s="63">
        <f>AVERAGE(M27:AQ27)</f>
        <v>8.1612903225806459</v>
      </c>
      <c r="AY28" s="65">
        <f>8*365/12-AV27</f>
        <v>-9.6666666666666572</v>
      </c>
      <c r="AZ28" s="65"/>
      <c r="BA28" s="65"/>
      <c r="BB28" s="56"/>
      <c r="BC28" s="63">
        <f>AVERAGE(BC5:BC27)</f>
        <v>2.5263157894736841</v>
      </c>
      <c r="BD28" s="88"/>
      <c r="BE28" s="61"/>
      <c r="BF28" s="55"/>
    </row>
    <row r="29" spans="1:58" s="54" customFormat="1" ht="24" customHeight="1" x14ac:dyDescent="0.45">
      <c r="A29" s="72"/>
      <c r="B29" s="57" t="s">
        <v>392</v>
      </c>
      <c r="C29" s="57"/>
      <c r="D29" s="57"/>
      <c r="E29" s="57"/>
      <c r="F29" s="57"/>
      <c r="G29" s="57"/>
      <c r="H29" s="57"/>
      <c r="I29" s="57"/>
      <c r="J29" s="57"/>
      <c r="K29" s="57"/>
      <c r="L29" s="57"/>
      <c r="M29" s="56">
        <f t="shared" ref="M29:AQ29" si="32">COUNTIF(M5:M26,"昼")</f>
        <v>2</v>
      </c>
      <c r="N29" s="56">
        <f t="shared" si="32"/>
        <v>1</v>
      </c>
      <c r="O29" s="56">
        <f t="shared" si="32"/>
        <v>1</v>
      </c>
      <c r="P29" s="56">
        <f t="shared" si="32"/>
        <v>2</v>
      </c>
      <c r="Q29" s="56">
        <f t="shared" si="32"/>
        <v>3</v>
      </c>
      <c r="R29" s="56">
        <f t="shared" si="32"/>
        <v>1</v>
      </c>
      <c r="S29" s="56">
        <f t="shared" si="32"/>
        <v>2</v>
      </c>
      <c r="T29" s="56">
        <f t="shared" si="32"/>
        <v>2</v>
      </c>
      <c r="U29" s="56">
        <f t="shared" si="32"/>
        <v>1</v>
      </c>
      <c r="V29" s="56">
        <f t="shared" si="32"/>
        <v>1</v>
      </c>
      <c r="W29" s="56">
        <f t="shared" si="32"/>
        <v>2</v>
      </c>
      <c r="X29" s="56">
        <f t="shared" si="32"/>
        <v>3</v>
      </c>
      <c r="Y29" s="56">
        <f t="shared" si="32"/>
        <v>1</v>
      </c>
      <c r="Z29" s="56">
        <f t="shared" si="32"/>
        <v>1</v>
      </c>
      <c r="AA29" s="56">
        <f t="shared" si="32"/>
        <v>3</v>
      </c>
      <c r="AB29" s="56">
        <f t="shared" si="32"/>
        <v>1</v>
      </c>
      <c r="AC29" s="56">
        <f t="shared" si="32"/>
        <v>1</v>
      </c>
      <c r="AD29" s="56">
        <f t="shared" si="32"/>
        <v>3</v>
      </c>
      <c r="AE29" s="56">
        <f t="shared" si="32"/>
        <v>3</v>
      </c>
      <c r="AF29" s="56">
        <f t="shared" si="32"/>
        <v>1</v>
      </c>
      <c r="AG29" s="56">
        <f t="shared" si="32"/>
        <v>2</v>
      </c>
      <c r="AH29" s="56">
        <f t="shared" si="32"/>
        <v>2</v>
      </c>
      <c r="AI29" s="56">
        <f t="shared" si="32"/>
        <v>1</v>
      </c>
      <c r="AJ29" s="56">
        <f t="shared" si="32"/>
        <v>1</v>
      </c>
      <c r="AK29" s="56">
        <f t="shared" si="32"/>
        <v>2</v>
      </c>
      <c r="AL29" s="56">
        <f t="shared" si="32"/>
        <v>3</v>
      </c>
      <c r="AM29" s="56">
        <f t="shared" si="32"/>
        <v>1</v>
      </c>
      <c r="AN29" s="56">
        <f t="shared" si="32"/>
        <v>1</v>
      </c>
      <c r="AO29" s="56">
        <f t="shared" si="32"/>
        <v>2</v>
      </c>
      <c r="AP29" s="56">
        <f t="shared" si="32"/>
        <v>1</v>
      </c>
      <c r="AQ29" s="56">
        <f t="shared" si="32"/>
        <v>0</v>
      </c>
      <c r="AR29" s="56" t="e">
        <f>COUNTIF(#REF!,"昼")</f>
        <v>#REF!</v>
      </c>
      <c r="AS29" s="56" t="e">
        <f>COUNTIF(#REF!,"昼")</f>
        <v>#REF!</v>
      </c>
      <c r="AT29" s="56" t="e">
        <f>COUNTIF(#REF!,"昼")</f>
        <v>#REF!</v>
      </c>
      <c r="AU29" s="56" t="e">
        <f>COUNTIF(#REF!,"昼")</f>
        <v>#REF!</v>
      </c>
      <c r="AV29" s="56">
        <f t="shared" si="31"/>
        <v>51</v>
      </c>
      <c r="AW29" s="56"/>
      <c r="AX29" s="56"/>
      <c r="AY29" s="56" t="s">
        <v>393</v>
      </c>
      <c r="AZ29" s="56"/>
      <c r="BA29" s="56"/>
      <c r="BB29" s="66"/>
      <c r="BC29" s="66"/>
      <c r="BD29" s="88"/>
      <c r="BE29" s="61"/>
      <c r="BF29" s="55"/>
    </row>
    <row r="30" spans="1:58" s="54" customFormat="1" ht="24" customHeight="1" x14ac:dyDescent="0.45">
      <c r="A30" s="72"/>
      <c r="B30" s="57" t="s">
        <v>394</v>
      </c>
      <c r="C30" s="57"/>
      <c r="D30" s="57"/>
      <c r="E30" s="57"/>
      <c r="F30" s="57"/>
      <c r="G30" s="57"/>
      <c r="H30" s="57"/>
      <c r="I30" s="57"/>
      <c r="J30" s="57"/>
      <c r="K30" s="57"/>
      <c r="L30" s="57"/>
      <c r="M30" s="56">
        <f t="shared" ref="M30:AQ30" si="33">COUNTIF(M5:M27,"お")</f>
        <v>0</v>
      </c>
      <c r="N30" s="56">
        <f t="shared" si="33"/>
        <v>1</v>
      </c>
      <c r="O30" s="56">
        <f t="shared" si="33"/>
        <v>2</v>
      </c>
      <c r="P30" s="56">
        <f t="shared" si="33"/>
        <v>2</v>
      </c>
      <c r="Q30" s="56">
        <f t="shared" si="33"/>
        <v>0</v>
      </c>
      <c r="R30" s="56">
        <f t="shared" si="33"/>
        <v>2</v>
      </c>
      <c r="S30" s="56">
        <f t="shared" si="33"/>
        <v>2</v>
      </c>
      <c r="T30" s="56">
        <f t="shared" si="33"/>
        <v>0</v>
      </c>
      <c r="U30" s="56">
        <f t="shared" si="33"/>
        <v>1</v>
      </c>
      <c r="V30" s="56">
        <f t="shared" si="33"/>
        <v>1</v>
      </c>
      <c r="W30" s="56">
        <f t="shared" si="33"/>
        <v>1</v>
      </c>
      <c r="X30" s="56">
        <f t="shared" si="33"/>
        <v>0</v>
      </c>
      <c r="Y30" s="56">
        <f t="shared" si="33"/>
        <v>2</v>
      </c>
      <c r="Z30" s="56">
        <f t="shared" si="33"/>
        <v>2</v>
      </c>
      <c r="AA30" s="56">
        <f t="shared" si="33"/>
        <v>0</v>
      </c>
      <c r="AB30" s="56">
        <f t="shared" si="33"/>
        <v>1</v>
      </c>
      <c r="AC30" s="56">
        <f t="shared" si="33"/>
        <v>3</v>
      </c>
      <c r="AD30" s="56">
        <f t="shared" si="33"/>
        <v>2</v>
      </c>
      <c r="AE30" s="56">
        <f t="shared" si="33"/>
        <v>0</v>
      </c>
      <c r="AF30" s="56">
        <f t="shared" si="33"/>
        <v>2</v>
      </c>
      <c r="AG30" s="56">
        <f t="shared" si="33"/>
        <v>2</v>
      </c>
      <c r="AH30" s="56">
        <f t="shared" si="33"/>
        <v>0</v>
      </c>
      <c r="AI30" s="56">
        <f t="shared" si="33"/>
        <v>1</v>
      </c>
      <c r="AJ30" s="56">
        <f t="shared" si="33"/>
        <v>2</v>
      </c>
      <c r="AK30" s="56">
        <f t="shared" si="33"/>
        <v>1</v>
      </c>
      <c r="AL30" s="56">
        <f t="shared" si="33"/>
        <v>0</v>
      </c>
      <c r="AM30" s="56">
        <f t="shared" si="33"/>
        <v>2</v>
      </c>
      <c r="AN30" s="56">
        <f t="shared" si="33"/>
        <v>2</v>
      </c>
      <c r="AO30" s="56">
        <f t="shared" si="33"/>
        <v>0</v>
      </c>
      <c r="AP30" s="56">
        <f t="shared" si="33"/>
        <v>1</v>
      </c>
      <c r="AQ30" s="56">
        <f t="shared" si="33"/>
        <v>0</v>
      </c>
      <c r="AR30" s="56">
        <f>COUNTIF(AR5:AR26,"お")</f>
        <v>0</v>
      </c>
      <c r="AS30" s="56">
        <f>COUNTIF(AS5:AS26,"お")</f>
        <v>0</v>
      </c>
      <c r="AT30" s="56">
        <f>COUNTIF(AT5:AT26,"お")</f>
        <v>0</v>
      </c>
      <c r="AU30" s="56">
        <f>COUNTIF(AU5:AU26,"お")</f>
        <v>0</v>
      </c>
      <c r="AV30" s="56">
        <f t="shared" si="31"/>
        <v>35</v>
      </c>
      <c r="AW30" s="56"/>
      <c r="AX30" s="56"/>
      <c r="AY30" s="56"/>
      <c r="AZ30" s="56"/>
      <c r="BA30" s="56"/>
      <c r="BB30" s="66"/>
      <c r="BC30" s="66"/>
      <c r="BD30" s="67"/>
      <c r="BE30" s="61"/>
      <c r="BF30" s="55"/>
    </row>
    <row r="31" spans="1:58" s="54" customFormat="1" ht="24" customHeight="1" x14ac:dyDescent="0.45">
      <c r="A31" s="72"/>
      <c r="B31" s="57" t="s">
        <v>395</v>
      </c>
      <c r="C31" s="57"/>
      <c r="D31" s="57"/>
      <c r="E31" s="57"/>
      <c r="F31" s="57"/>
      <c r="G31" s="57"/>
      <c r="H31" s="57"/>
      <c r="I31" s="57"/>
      <c r="J31" s="57"/>
      <c r="K31" s="57"/>
      <c r="L31" s="57"/>
      <c r="M31" s="56">
        <f t="shared" ref="M31:AQ31" si="34">COUNTIF(M5:M26,"お")+COUNTIF(M5:M26,"夕")</f>
        <v>0</v>
      </c>
      <c r="N31" s="56">
        <f t="shared" si="34"/>
        <v>1</v>
      </c>
      <c r="O31" s="56">
        <f t="shared" si="34"/>
        <v>3</v>
      </c>
      <c r="P31" s="56">
        <f t="shared" si="34"/>
        <v>2</v>
      </c>
      <c r="Q31" s="56">
        <f t="shared" si="34"/>
        <v>0</v>
      </c>
      <c r="R31" s="56">
        <f t="shared" si="34"/>
        <v>3</v>
      </c>
      <c r="S31" s="56">
        <f t="shared" si="34"/>
        <v>3</v>
      </c>
      <c r="T31" s="56">
        <f t="shared" si="34"/>
        <v>0</v>
      </c>
      <c r="U31" s="56">
        <f t="shared" si="34"/>
        <v>1</v>
      </c>
      <c r="V31" s="56">
        <f t="shared" si="34"/>
        <v>2</v>
      </c>
      <c r="W31" s="56">
        <f t="shared" si="34"/>
        <v>1</v>
      </c>
      <c r="X31" s="56">
        <f t="shared" si="34"/>
        <v>1</v>
      </c>
      <c r="Y31" s="56">
        <f t="shared" si="34"/>
        <v>3</v>
      </c>
      <c r="Z31" s="56">
        <f t="shared" si="34"/>
        <v>3</v>
      </c>
      <c r="AA31" s="56">
        <f t="shared" si="34"/>
        <v>0</v>
      </c>
      <c r="AB31" s="56">
        <f t="shared" si="34"/>
        <v>1</v>
      </c>
      <c r="AC31" s="56">
        <f t="shared" si="34"/>
        <v>4</v>
      </c>
      <c r="AD31" s="56">
        <f t="shared" si="34"/>
        <v>2</v>
      </c>
      <c r="AE31" s="56">
        <f t="shared" si="34"/>
        <v>0</v>
      </c>
      <c r="AF31" s="56">
        <f t="shared" si="34"/>
        <v>3</v>
      </c>
      <c r="AG31" s="56">
        <f t="shared" si="34"/>
        <v>3</v>
      </c>
      <c r="AH31" s="56">
        <f t="shared" si="34"/>
        <v>0</v>
      </c>
      <c r="AI31" s="56">
        <f t="shared" si="34"/>
        <v>1</v>
      </c>
      <c r="AJ31" s="56">
        <f t="shared" si="34"/>
        <v>3</v>
      </c>
      <c r="AK31" s="56">
        <f t="shared" si="34"/>
        <v>1</v>
      </c>
      <c r="AL31" s="56">
        <f t="shared" si="34"/>
        <v>1</v>
      </c>
      <c r="AM31" s="56">
        <f t="shared" si="34"/>
        <v>3</v>
      </c>
      <c r="AN31" s="56">
        <f t="shared" si="34"/>
        <v>3</v>
      </c>
      <c r="AO31" s="56">
        <f t="shared" si="34"/>
        <v>0</v>
      </c>
      <c r="AP31" s="56">
        <f t="shared" si="34"/>
        <v>1</v>
      </c>
      <c r="AQ31" s="56">
        <f t="shared" si="34"/>
        <v>0</v>
      </c>
      <c r="AR31" s="56" t="e">
        <f>COUNTIF(#REF!,"お")+COUNTIF(#REF!,"夕")</f>
        <v>#REF!</v>
      </c>
      <c r="AS31" s="56" t="e">
        <f>COUNTIF(#REF!,"お")+COUNTIF(#REF!,"夕")</f>
        <v>#REF!</v>
      </c>
      <c r="AT31" s="56" t="e">
        <f>COUNTIF(#REF!,"お")+COUNTIF(#REF!,"夕")</f>
        <v>#REF!</v>
      </c>
      <c r="AU31" s="56" t="e">
        <f>COUNTIF(#REF!,"お")+COUNTIF(#REF!,"夕")</f>
        <v>#REF!</v>
      </c>
      <c r="AV31" s="56">
        <f t="shared" si="31"/>
        <v>49</v>
      </c>
      <c r="AW31" s="56"/>
      <c r="AX31" s="56"/>
      <c r="AY31" s="56"/>
      <c r="AZ31" s="56"/>
      <c r="BA31" s="56"/>
      <c r="BB31" s="66"/>
      <c r="BC31" s="66"/>
      <c r="BD31" s="67"/>
      <c r="BE31" s="61"/>
      <c r="BF31" s="55"/>
    </row>
    <row r="32" spans="1:58" s="54" customFormat="1" ht="24" customHeight="1" x14ac:dyDescent="0.45">
      <c r="A32" s="72"/>
      <c r="BB32" s="69"/>
      <c r="BC32" s="115"/>
      <c r="BD32" s="88"/>
      <c r="BE32" s="61"/>
      <c r="BF32" s="55"/>
    </row>
    <row r="33" spans="1:58" s="54" customFormat="1" ht="24" customHeight="1" x14ac:dyDescent="0.45">
      <c r="A33" s="72"/>
      <c r="BB33" s="69" t="s">
        <v>396</v>
      </c>
      <c r="BC33" s="115"/>
      <c r="BD33" s="88"/>
      <c r="BE33" s="61"/>
      <c r="BF33" s="55"/>
    </row>
    <row r="34" spans="1:58" s="54" customFormat="1" ht="24" customHeight="1" x14ac:dyDescent="0.45">
      <c r="A34" s="72"/>
      <c r="BB34" s="69"/>
      <c r="BC34" s="115"/>
      <c r="BD34" s="88"/>
      <c r="BE34" s="61"/>
      <c r="BF34" s="55"/>
    </row>
    <row r="35" spans="1:58" s="54" customFormat="1" ht="24" customHeight="1" x14ac:dyDescent="0.45">
      <c r="A35" s="72"/>
      <c r="BB35" s="69"/>
      <c r="BC35" s="115"/>
      <c r="BD35" s="69"/>
      <c r="BE35" s="61"/>
      <c r="BF35" s="55"/>
    </row>
    <row r="36" spans="1:58" s="54" customFormat="1" ht="24" customHeight="1" x14ac:dyDescent="0.45">
      <c r="A36" s="7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70"/>
      <c r="BC36" s="116"/>
      <c r="BD36" s="69"/>
      <c r="BE36" s="61"/>
      <c r="BF36" s="55"/>
    </row>
    <row r="37" spans="1:58" s="54" customFormat="1" ht="24" customHeight="1" x14ac:dyDescent="0.45">
      <c r="A37" s="7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70"/>
      <c r="BC37" s="116"/>
      <c r="BD37" s="69"/>
      <c r="BE37" s="61"/>
      <c r="BF37" s="55"/>
    </row>
    <row r="38" spans="1:58" s="54" customFormat="1" ht="24" customHeight="1" x14ac:dyDescent="0.45">
      <c r="A38" s="72"/>
      <c r="B38" s="57" t="s">
        <v>397</v>
      </c>
      <c r="C38" s="57"/>
      <c r="D38" s="57"/>
      <c r="E38" s="57"/>
      <c r="F38" s="57"/>
      <c r="G38" s="57"/>
      <c r="H38" s="57"/>
      <c r="I38" s="57"/>
      <c r="J38" s="57" t="str">
        <f t="shared" ref="J38:J39" si="35">IF(COUNTA(C38:I38)=0,"",COUNTA(C38:I38))</f>
        <v/>
      </c>
      <c r="K38" s="57"/>
      <c r="L38" s="57"/>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t="str">
        <f t="shared" ref="AR38:AR39" si="36">IF(COUNTIF($M38:$AQ38,"昼")=0,"",COUNTIF($M38:$AQ38,"昼"))</f>
        <v/>
      </c>
      <c r="AS38" s="56" t="str">
        <f t="shared" ref="AS38:AS39" si="37">IF(COUNTIF($M38:$AQ38,"○")=0,"",COUNTIF($M38:$AQ38,"○"))</f>
        <v/>
      </c>
      <c r="AT38" s="56" t="str">
        <f t="shared" ref="AT38:AT39" si="38">IF(COUNTIF($M38:$AQ38,"お")=0,"",COUNTIF($M38:$AQ38,"お"))</f>
        <v/>
      </c>
      <c r="AU38" s="56" t="str">
        <f t="shared" ref="AU38:AU39" si="39">IF(COUNTIF($M38:$AQ38,"夕")=0,"",COUNTIF($M38:$AQ38,"夕"))</f>
        <v/>
      </c>
      <c r="AV38" s="56" t="str">
        <f t="shared" ref="AV38:AV39" si="40">IF(COUNTA(M38:AQ38)=0,"",SUM(AR38:AU38))</f>
        <v/>
      </c>
      <c r="AW38" s="56"/>
      <c r="AX38" s="56" t="s">
        <v>398</v>
      </c>
      <c r="AY38" s="59">
        <v>9068599322</v>
      </c>
      <c r="AZ38" s="59"/>
      <c r="BA38" s="59"/>
      <c r="BB38" s="66"/>
      <c r="BC38" s="66"/>
      <c r="BD38" s="69"/>
      <c r="BE38" s="55"/>
    </row>
    <row r="39" spans="1:58" s="54" customFormat="1" ht="24" customHeight="1" x14ac:dyDescent="0.45">
      <c r="A39" s="73"/>
      <c r="B39" s="57" t="s">
        <v>399</v>
      </c>
      <c r="C39" s="57"/>
      <c r="D39" s="57"/>
      <c r="E39" s="57"/>
      <c r="F39" s="57"/>
      <c r="G39" s="57"/>
      <c r="H39" s="57"/>
      <c r="I39" s="57"/>
      <c r="J39" s="57" t="str">
        <f t="shared" si="35"/>
        <v/>
      </c>
      <c r="K39" s="57"/>
      <c r="L39" s="57"/>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t="str">
        <f t="shared" si="36"/>
        <v/>
      </c>
      <c r="AS39" s="56" t="str">
        <f t="shared" si="37"/>
        <v/>
      </c>
      <c r="AT39" s="56" t="str">
        <f t="shared" si="38"/>
        <v/>
      </c>
      <c r="AU39" s="56" t="str">
        <f t="shared" si="39"/>
        <v/>
      </c>
      <c r="AV39" s="56" t="str">
        <f t="shared" si="40"/>
        <v/>
      </c>
      <c r="AW39" s="56"/>
      <c r="AX39" s="56" t="s">
        <v>400</v>
      </c>
      <c r="AY39" s="59">
        <v>8046668865</v>
      </c>
      <c r="AZ39" s="59"/>
      <c r="BA39" s="59"/>
      <c r="BB39" s="66"/>
      <c r="BC39" s="66"/>
      <c r="BD39" s="70"/>
      <c r="BE39" s="53"/>
      <c r="BF39" s="55" t="s">
        <v>401</v>
      </c>
    </row>
    <row r="40" spans="1:58" s="54" customFormat="1" ht="24" customHeight="1" x14ac:dyDescent="0.45">
      <c r="A40" s="53"/>
      <c r="B40" s="57" t="s">
        <v>354</v>
      </c>
      <c r="C40" s="57"/>
      <c r="D40" s="57"/>
      <c r="E40" s="57"/>
      <c r="F40" s="57"/>
      <c r="G40" s="57"/>
      <c r="H40" s="57"/>
      <c r="I40" s="57"/>
      <c r="J40" s="57"/>
      <c r="K40" s="57"/>
      <c r="L40" s="57"/>
      <c r="M40" s="56"/>
      <c r="N40" s="56"/>
      <c r="O40" s="56"/>
      <c r="P40" s="56"/>
      <c r="Q40" s="56"/>
      <c r="R40" s="56"/>
      <c r="S40" s="56"/>
      <c r="T40" s="56"/>
      <c r="U40" s="56"/>
      <c r="V40" s="56"/>
      <c r="W40" s="56"/>
      <c r="X40" s="56"/>
      <c r="Y40" s="56"/>
      <c r="Z40" s="56"/>
      <c r="AA40" s="56" t="s">
        <v>352</v>
      </c>
      <c r="AB40" s="56" t="s">
        <v>320</v>
      </c>
      <c r="AC40" s="56"/>
      <c r="AD40" s="56"/>
      <c r="AE40" s="58"/>
      <c r="AF40" s="56"/>
      <c r="AG40" s="56"/>
      <c r="AH40" s="56"/>
      <c r="AI40" s="56"/>
      <c r="AJ40" s="56"/>
      <c r="AK40" s="56"/>
      <c r="AL40" s="56"/>
      <c r="AM40" s="56"/>
      <c r="AN40" s="56"/>
      <c r="AO40" s="56"/>
      <c r="AP40" s="56"/>
      <c r="AQ40" s="56"/>
      <c r="AR40" s="56"/>
      <c r="AS40" s="56"/>
      <c r="AT40" s="56"/>
      <c r="AU40" s="56"/>
      <c r="AV40" s="56"/>
      <c r="AW40" s="56">
        <v>223</v>
      </c>
      <c r="AX40" s="56" t="s">
        <v>355</v>
      </c>
      <c r="AY40" s="59">
        <v>9094067262</v>
      </c>
      <c r="AZ40" s="56" t="s">
        <v>356</v>
      </c>
      <c r="BA40" s="59">
        <v>7012498633</v>
      </c>
      <c r="BB40" s="66" t="s">
        <v>326</v>
      </c>
      <c r="BC40" s="56">
        <v>2</v>
      </c>
      <c r="BD40" s="88"/>
      <c r="BE40" s="53"/>
      <c r="BF40" s="55"/>
    </row>
    <row r="41" spans="1:58" s="54" customFormat="1" ht="24" customHeight="1" x14ac:dyDescent="0.45">
      <c r="A41" s="53"/>
      <c r="B41" s="57" t="s">
        <v>376</v>
      </c>
      <c r="C41" s="57"/>
      <c r="D41" s="57"/>
      <c r="E41" s="57"/>
      <c r="F41" s="57"/>
      <c r="G41" s="57"/>
      <c r="H41" s="57"/>
      <c r="I41" s="57"/>
      <c r="J41" s="57"/>
      <c r="K41" s="57"/>
      <c r="L41" s="57"/>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t="s">
        <v>377</v>
      </c>
      <c r="AY41" s="59">
        <v>9075866267</v>
      </c>
      <c r="AZ41" s="56" t="s">
        <v>336</v>
      </c>
      <c r="BA41" s="59">
        <v>8039162381</v>
      </c>
      <c r="BB41" s="66" t="s">
        <v>347</v>
      </c>
      <c r="BC41" s="56">
        <v>3</v>
      </c>
      <c r="BD41" s="88"/>
      <c r="BE41" s="53"/>
      <c r="BF41" s="55"/>
    </row>
    <row r="42" spans="1:58" s="54" customFormat="1" ht="24" customHeight="1" x14ac:dyDescent="0.45">
      <c r="A42" s="53"/>
      <c r="B42" s="57" t="s">
        <v>367</v>
      </c>
      <c r="C42" s="57"/>
      <c r="D42" s="57"/>
      <c r="E42" s="57"/>
      <c r="F42" s="57"/>
      <c r="G42" s="57"/>
      <c r="H42" s="57"/>
      <c r="I42" s="57"/>
      <c r="J42" s="57"/>
      <c r="K42" s="57"/>
      <c r="L42" s="57"/>
      <c r="M42" s="56"/>
      <c r="N42" s="56"/>
      <c r="O42" s="56"/>
      <c r="P42" s="58"/>
      <c r="Q42" s="56"/>
      <c r="R42" s="56"/>
      <c r="S42" s="56"/>
      <c r="T42" s="56"/>
      <c r="U42" s="56"/>
      <c r="V42" s="56"/>
      <c r="W42" s="58"/>
      <c r="X42" s="56"/>
      <c r="Y42" s="56"/>
      <c r="Z42" s="56"/>
      <c r="AA42" s="56"/>
      <c r="AB42" s="56"/>
      <c r="AC42" s="56"/>
      <c r="AD42" s="58"/>
      <c r="AE42" s="58"/>
      <c r="AF42" s="56"/>
      <c r="AG42" s="56"/>
      <c r="AH42" s="56"/>
      <c r="AI42" s="56"/>
      <c r="AJ42" s="56"/>
      <c r="AK42" s="56"/>
      <c r="AL42" s="56"/>
      <c r="AM42" s="56"/>
      <c r="AN42" s="56"/>
      <c r="AO42" s="56"/>
      <c r="AP42" s="56"/>
      <c r="AQ42" s="56"/>
      <c r="AR42" s="56"/>
      <c r="AS42" s="56"/>
      <c r="AT42" s="56"/>
      <c r="AU42" s="56"/>
      <c r="AV42" s="56"/>
      <c r="AW42" s="56">
        <v>223</v>
      </c>
      <c r="AX42" s="56" t="s">
        <v>356</v>
      </c>
      <c r="AY42" s="59">
        <v>7012498633</v>
      </c>
      <c r="AZ42" s="56" t="s">
        <v>402</v>
      </c>
      <c r="BA42" s="59">
        <v>9057498087</v>
      </c>
      <c r="BB42" s="66" t="s">
        <v>326</v>
      </c>
      <c r="BC42" s="115"/>
      <c r="BD42" s="88"/>
      <c r="BE42" s="53"/>
      <c r="BF42" s="55"/>
    </row>
    <row r="43" spans="1:58" s="54" customFormat="1" ht="24" customHeight="1" x14ac:dyDescent="0.45">
      <c r="A43" s="48"/>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70"/>
      <c r="BC43" s="116"/>
      <c r="BD43" s="88"/>
      <c r="BE43" s="53"/>
      <c r="BF43" s="55"/>
    </row>
    <row r="44" spans="1:58" s="54" customFormat="1" ht="24" customHeight="1" x14ac:dyDescent="0.45">
      <c r="A44" s="48"/>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70"/>
      <c r="BC44" s="116"/>
      <c r="BD44" s="88"/>
      <c r="BE44" s="53"/>
      <c r="BF44" s="55"/>
    </row>
    <row r="45" spans="1:58" s="54" customFormat="1" ht="26.4" customHeight="1" x14ac:dyDescent="0.45">
      <c r="A45" s="72">
        <v>18</v>
      </c>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70"/>
      <c r="BC45" s="116"/>
      <c r="BD45" s="70"/>
      <c r="BE45" s="53"/>
      <c r="BF45" s="55"/>
    </row>
    <row r="46" spans="1:58" s="54" customFormat="1" ht="26.4" customHeight="1" x14ac:dyDescent="0.45">
      <c r="A46" s="72">
        <v>19</v>
      </c>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70"/>
      <c r="BC46" s="116"/>
      <c r="BD46" s="70"/>
    </row>
    <row r="47" spans="1:58" s="54" customFormat="1" ht="26.4" customHeight="1" x14ac:dyDescent="0.45">
      <c r="A47" s="72">
        <v>20</v>
      </c>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70"/>
      <c r="BC47" s="116"/>
      <c r="BD47" s="70"/>
      <c r="BE47" s="53"/>
    </row>
    <row r="48" spans="1:58" s="54" customFormat="1" ht="26.4" customHeight="1" x14ac:dyDescent="0.45">
      <c r="A48" s="72">
        <v>21</v>
      </c>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70"/>
      <c r="BC48" s="116"/>
      <c r="BD48" s="70"/>
      <c r="BE48" s="53"/>
    </row>
    <row r="49" spans="1:58" s="54" customFormat="1" ht="26.4" customHeight="1" x14ac:dyDescent="0.45">
      <c r="A49" s="72">
        <v>22</v>
      </c>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70"/>
      <c r="BC49" s="116"/>
      <c r="BD49" s="70"/>
      <c r="BE49" s="53"/>
    </row>
    <row r="50" spans="1:58" s="54" customFormat="1" ht="26.4" customHeight="1" x14ac:dyDescent="0.45">
      <c r="A50" s="72">
        <v>23</v>
      </c>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70"/>
      <c r="BC50" s="116"/>
      <c r="BD50" s="70"/>
      <c r="BE50" s="53"/>
    </row>
    <row r="51" spans="1:58" s="54" customFormat="1" ht="21.6" x14ac:dyDescent="0.45">
      <c r="A51" s="48"/>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70"/>
      <c r="BC51" s="116"/>
      <c r="BD51" s="70"/>
      <c r="BE51" s="53"/>
    </row>
    <row r="52" spans="1:58" s="54" customFormat="1" ht="21.6" x14ac:dyDescent="0.45">
      <c r="A52" s="48"/>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70"/>
      <c r="BC52" s="116"/>
      <c r="BD52" s="70"/>
      <c r="BE52" s="53"/>
    </row>
    <row r="53" spans="1:58" s="54" customFormat="1" ht="21.6" x14ac:dyDescent="0.45">
      <c r="A53" s="48"/>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70"/>
      <c r="BC53" s="116"/>
      <c r="BD53" s="70"/>
      <c r="BE53" s="53"/>
    </row>
    <row r="54" spans="1:58" s="54" customFormat="1" ht="21.6" x14ac:dyDescent="0.45">
      <c r="A54" s="48"/>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70"/>
      <c r="BC54" s="116"/>
      <c r="BD54" s="70"/>
      <c r="BE54" s="53"/>
    </row>
    <row r="56" spans="1:58" s="54" customFormat="1" ht="26.4" customHeight="1" x14ac:dyDescent="0.45">
      <c r="A56" s="48"/>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70"/>
      <c r="BC56" s="116"/>
      <c r="BD56" s="70"/>
      <c r="BE56" s="53"/>
      <c r="BF56" s="55"/>
    </row>
    <row r="57" spans="1:58" s="54" customFormat="1" ht="26.4" customHeight="1" x14ac:dyDescent="0.45">
      <c r="A57" s="48"/>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70"/>
      <c r="BC57" s="116"/>
      <c r="BD57" s="70"/>
      <c r="BE57" s="53"/>
      <c r="BF57" s="55"/>
    </row>
    <row r="58" spans="1:58" s="54" customFormat="1" ht="26.4" customHeight="1" x14ac:dyDescent="0.45">
      <c r="A58" s="48"/>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70"/>
      <c r="BC58" s="116"/>
      <c r="BD58" s="70"/>
      <c r="BE58" s="53"/>
      <c r="BF58" s="55"/>
    </row>
    <row r="59" spans="1:58" s="54" customFormat="1" ht="26.4" customHeight="1" x14ac:dyDescent="0.45">
      <c r="A59" s="48"/>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70"/>
      <c r="BC59" s="116"/>
      <c r="BD59" s="70"/>
      <c r="BE59" s="53"/>
      <c r="BF59" s="55"/>
    </row>
    <row r="60" spans="1:58" s="54" customFormat="1" ht="26.4" customHeight="1" x14ac:dyDescent="0.45">
      <c r="A60" s="48"/>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70"/>
      <c r="BC60" s="116"/>
      <c r="BD60" s="70"/>
      <c r="BE60" s="53"/>
      <c r="BF60" s="55"/>
    </row>
    <row r="61" spans="1:58" s="54" customFormat="1" ht="26.4" customHeight="1" x14ac:dyDescent="0.45">
      <c r="A61" s="48"/>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70"/>
      <c r="BC61" s="116"/>
      <c r="BD61" s="70"/>
      <c r="BE61" s="53"/>
      <c r="BF61" s="55"/>
    </row>
  </sheetData>
  <mergeCells count="19">
    <mergeCell ref="AW3:AW4"/>
    <mergeCell ref="P1:R2"/>
    <mergeCell ref="S1:S2"/>
    <mergeCell ref="T1:U2"/>
    <mergeCell ref="V1:AN2"/>
    <mergeCell ref="AQ1:AV1"/>
    <mergeCell ref="AO2:AV2"/>
    <mergeCell ref="A3:A4"/>
    <mergeCell ref="B3:B4"/>
    <mergeCell ref="C3:J4"/>
    <mergeCell ref="K3:L4"/>
    <mergeCell ref="AV3:AV4"/>
    <mergeCell ref="BD3:BD4"/>
    <mergeCell ref="AX3:AX4"/>
    <mergeCell ref="AY3:AY4"/>
    <mergeCell ref="AZ3:AZ4"/>
    <mergeCell ref="BA3:BA4"/>
    <mergeCell ref="BB3:BB4"/>
    <mergeCell ref="BC3:BC4"/>
  </mergeCells>
  <phoneticPr fontId="1"/>
  <conditionalFormatting sqref="M21:U21 Y21:AW21">
    <cfRule type="cellIs" dxfId="16" priority="1" operator="equal">
      <formula>"お"</formula>
    </cfRule>
    <cfRule type="cellIs" dxfId="15" priority="2" operator="equal">
      <formula>"夕"</formula>
    </cfRule>
  </conditionalFormatting>
  <conditionalFormatting sqref="M8:AJ8 AL8:AQ8">
    <cfRule type="cellIs" dxfId="14" priority="13" operator="equal">
      <formula>"""夕"""</formula>
    </cfRule>
  </conditionalFormatting>
  <conditionalFormatting sqref="M5:AQ7 M8:AJ8 AL8:AQ8 M14:N14 S14:AQ14">
    <cfRule type="cellIs" dxfId="13" priority="11" operator="equal">
      <formula>"お"</formula>
    </cfRule>
    <cfRule type="cellIs" dxfId="12" priority="12" operator="equal">
      <formula>"夕"</formula>
    </cfRule>
  </conditionalFormatting>
  <conditionalFormatting sqref="M4:AU4">
    <cfRule type="cellIs" dxfId="11" priority="16" operator="equal">
      <formula>"土"</formula>
    </cfRule>
    <cfRule type="cellIs" dxfId="10" priority="17" operator="equal">
      <formula>"日"</formula>
    </cfRule>
  </conditionalFormatting>
  <conditionalFormatting sqref="M27:AU27">
    <cfRule type="cellIs" dxfId="9" priority="14" operator="greaterThan">
      <formula>7</formula>
    </cfRule>
    <cfRule type="cellIs" dxfId="8" priority="15" operator="greaterThan">
      <formula>6</formula>
    </cfRule>
  </conditionalFormatting>
  <conditionalFormatting sqref="M15:AW20 M22:AW26">
    <cfRule type="cellIs" dxfId="7" priority="3" operator="equal">
      <formula>"お"</formula>
    </cfRule>
    <cfRule type="cellIs" dxfId="6" priority="4" operator="equal">
      <formula>"夕"</formula>
    </cfRule>
  </conditionalFormatting>
  <conditionalFormatting sqref="M38:AW42">
    <cfRule type="cellIs" dxfId="5" priority="9" operator="equal">
      <formula>"お"</formula>
    </cfRule>
    <cfRule type="cellIs" dxfId="4" priority="10" operator="equal">
      <formula>"夕"</formula>
    </cfRule>
  </conditionalFormatting>
  <conditionalFormatting sqref="AR5:AW14 M9:AQ13">
    <cfRule type="cellIs" dxfId="3" priority="7" operator="equal">
      <formula>"お"</formula>
    </cfRule>
    <cfRule type="cellIs" dxfId="2" priority="8" operator="equal">
      <formula>"夕"</formula>
    </cfRule>
  </conditionalFormatting>
  <printOptions horizontalCentered="1" verticalCentered="1"/>
  <pageMargins left="3.937007874015748E-2" right="3.937007874015748E-2" top="0.15748031496062992" bottom="0.15748031496062992" header="0.31496062992125984" footer="0.31496062992125984"/>
  <pageSetup paperSize="9" scale="6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4AADA5-5372-4D52-8FF0-7133E73F6C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特養入所</vt:lpstr>
      <vt:lpstr>短期原本</vt:lpstr>
      <vt:lpstr>自動構文</vt:lpstr>
      <vt:lpstr>プラン補助</vt:lpstr>
      <vt:lpstr>2月</vt:lpstr>
      <vt:lpstr>3月</vt:lpstr>
      <vt:lpstr>4月</vt:lpstr>
      <vt:lpstr>5月</vt:lpstr>
      <vt:lpstr>6月</vt:lpstr>
      <vt:lpstr>7月</vt:lpstr>
      <vt:lpstr>8月</vt:lpstr>
      <vt:lpstr>9月</vt:lpstr>
      <vt:lpstr>'2月'!Print_Area</vt:lpstr>
      <vt:lpstr>'3月'!Print_Area</vt:lpstr>
      <vt:lpstr>'4月'!Print_Area</vt:lpstr>
      <vt:lpstr>'5月'!Print_Area</vt:lpstr>
      <vt:lpstr>'6月'!Print_Area</vt:lpstr>
      <vt:lpstr>'7月'!Print_Area</vt:lpstr>
      <vt:lpstr>'8月'!Print_Area</vt:lpstr>
      <vt:lpstr>'9月'!Print_Area</vt:lpstr>
      <vt:lpstr>短期原本!Print_Area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中村洋平</dc:creator>
  <cp:keywords/>
  <dc:description/>
  <cp:lastModifiedBy>洋平 中村</cp:lastModifiedBy>
  <cp:revision/>
  <cp:lastPrinted>2026-06-23T06:42:43Z</cp:lastPrinted>
  <dcterms:created xsi:type="dcterms:W3CDTF">2023-04-10T00:54:11Z</dcterms:created>
  <dcterms:modified xsi:type="dcterms:W3CDTF">2026-07-04T06:51:05Z</dcterms:modified>
  <cp:category/>
  <cp:contentStatus/>
</cp:coreProperties>
</file>